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D:\DATA_ANGGY\Latihan Dashboard\"/>
    </mc:Choice>
  </mc:AlternateContent>
  <xr:revisionPtr revIDLastSave="0" documentId="13_ncr:1_{D8C0D92A-7AB5-43F0-858E-E095BC5BCF05}" xr6:coauthVersionLast="47" xr6:coauthVersionMax="47" xr10:uidLastSave="{00000000-0000-0000-0000-000000000000}"/>
  <bookViews>
    <workbookView xWindow="-120" yWindow="-120" windowWidth="29040" windowHeight="15720" activeTab="2" xr2:uid="{8B255169-6E0A-404C-BC41-07E79B8A30BA}"/>
  </bookViews>
  <sheets>
    <sheet name="Dashboard" sheetId="6" r:id="rId1"/>
    <sheet name="Pivot" sheetId="5" r:id="rId2"/>
    <sheet name="Data" sheetId="2" r:id="rId3"/>
    <sheet name="Pertanyaan" sheetId="7" r:id="rId4"/>
  </sheets>
  <definedNames>
    <definedName name="_xlnm._FilterDatabase" localSheetId="2" hidden="1">Data!$A$3:$J$504</definedName>
    <definedName name="_xlnm.Print_Area" localSheetId="0">Dashboard!$A$1:$CP$90</definedName>
    <definedName name="Slicer_Departemen__Sales__IT__HR__Marketing__Finance">#N/A</definedName>
    <definedName name="Slicer_Jenis_Kelamin__Laki_laki___Perempuan">#N/A</definedName>
    <definedName name="Slicer_Status_Kerja__Kontrak___Tetap">#N/A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 i="2" l="1"/>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4" i="2"/>
  <c r="H5" i="2"/>
  <c r="H6" i="2"/>
  <c r="L50" i="2"/>
  <c r="B19" i="5"/>
  <c r="B14" i="5"/>
  <c r="I504" i="2"/>
  <c r="I503" i="2"/>
  <c r="I502" i="2"/>
  <c r="I501" i="2"/>
  <c r="I500" i="2"/>
  <c r="I499" i="2"/>
  <c r="I498" i="2"/>
  <c r="I497" i="2"/>
  <c r="I496" i="2"/>
  <c r="I495" i="2"/>
  <c r="I494" i="2"/>
  <c r="I493" i="2"/>
  <c r="I492" i="2"/>
  <c r="I491" i="2"/>
  <c r="I490" i="2"/>
  <c r="I489" i="2"/>
  <c r="I488" i="2"/>
  <c r="I487" i="2"/>
  <c r="I486" i="2"/>
  <c r="I485" i="2"/>
  <c r="I484" i="2"/>
  <c r="I483" i="2"/>
  <c r="I482" i="2"/>
  <c r="I481" i="2"/>
  <c r="I480" i="2"/>
  <c r="I479" i="2"/>
  <c r="I478" i="2"/>
  <c r="I477" i="2"/>
  <c r="I476" i="2"/>
  <c r="I475" i="2"/>
  <c r="I474" i="2"/>
  <c r="I473" i="2"/>
  <c r="I472" i="2"/>
  <c r="I471" i="2"/>
  <c r="I470" i="2"/>
  <c r="I469" i="2"/>
  <c r="I468" i="2"/>
  <c r="I467" i="2"/>
  <c r="I466" i="2"/>
  <c r="I465" i="2"/>
  <c r="I464" i="2"/>
  <c r="I463" i="2"/>
  <c r="I462" i="2"/>
  <c r="I461" i="2"/>
  <c r="I460" i="2"/>
  <c r="I459" i="2"/>
  <c r="I458" i="2"/>
  <c r="I457" i="2"/>
  <c r="I456" i="2"/>
  <c r="I455" i="2"/>
  <c r="I454" i="2"/>
  <c r="I453" i="2"/>
  <c r="I452" i="2"/>
  <c r="I451" i="2"/>
  <c r="I450" i="2"/>
  <c r="I449" i="2"/>
  <c r="I448" i="2"/>
  <c r="I447" i="2"/>
  <c r="I446" i="2"/>
  <c r="I445" i="2"/>
  <c r="I444" i="2"/>
  <c r="I443" i="2"/>
  <c r="I442" i="2"/>
  <c r="I441" i="2"/>
  <c r="I440" i="2"/>
  <c r="I439" i="2"/>
  <c r="I438" i="2"/>
  <c r="I437" i="2"/>
  <c r="I436" i="2"/>
  <c r="I435" i="2"/>
  <c r="I434" i="2"/>
  <c r="I433" i="2"/>
  <c r="I432" i="2"/>
  <c r="I431" i="2"/>
  <c r="I430" i="2"/>
  <c r="I429" i="2"/>
  <c r="I428" i="2"/>
  <c r="I427" i="2"/>
  <c r="I426" i="2"/>
  <c r="I425" i="2"/>
  <c r="I424" i="2"/>
  <c r="I423" i="2"/>
  <c r="I422" i="2"/>
  <c r="I421" i="2"/>
  <c r="I420" i="2"/>
  <c r="I419" i="2"/>
  <c r="I418" i="2"/>
  <c r="I417" i="2"/>
  <c r="I416" i="2"/>
  <c r="I415" i="2"/>
  <c r="I414" i="2"/>
  <c r="I413" i="2"/>
  <c r="I412" i="2"/>
  <c r="I411" i="2"/>
  <c r="I410" i="2"/>
  <c r="I409" i="2"/>
  <c r="I408" i="2"/>
  <c r="I407" i="2"/>
  <c r="I406" i="2"/>
  <c r="I405" i="2"/>
  <c r="I404" i="2"/>
  <c r="I403" i="2"/>
  <c r="I402" i="2"/>
  <c r="I401" i="2"/>
  <c r="I400" i="2"/>
  <c r="I399" i="2"/>
  <c r="I398" i="2"/>
  <c r="I397" i="2"/>
  <c r="I396" i="2"/>
  <c r="I395" i="2"/>
  <c r="I394" i="2"/>
  <c r="I393" i="2"/>
  <c r="I392" i="2"/>
  <c r="I391" i="2"/>
  <c r="I390" i="2"/>
  <c r="I389" i="2"/>
  <c r="I388" i="2"/>
  <c r="I387" i="2"/>
  <c r="I386" i="2"/>
  <c r="I385" i="2"/>
  <c r="I384" i="2"/>
  <c r="I383" i="2"/>
  <c r="I382" i="2"/>
  <c r="I381" i="2"/>
  <c r="I380" i="2"/>
  <c r="I379" i="2"/>
  <c r="I378" i="2"/>
  <c r="I377" i="2"/>
  <c r="I376" i="2"/>
  <c r="I375" i="2"/>
  <c r="I374" i="2"/>
  <c r="I373" i="2"/>
  <c r="I372" i="2"/>
  <c r="I371" i="2"/>
  <c r="I370" i="2"/>
  <c r="I369" i="2"/>
  <c r="I368" i="2"/>
  <c r="I367" i="2"/>
  <c r="I366" i="2"/>
  <c r="I365" i="2"/>
  <c r="I364" i="2"/>
  <c r="I363" i="2"/>
  <c r="I362" i="2"/>
  <c r="I361" i="2"/>
  <c r="I360" i="2"/>
  <c r="I359" i="2"/>
  <c r="I358" i="2"/>
  <c r="I357" i="2"/>
  <c r="I356" i="2"/>
  <c r="I355" i="2"/>
  <c r="I354" i="2"/>
  <c r="I353" i="2"/>
  <c r="I352" i="2"/>
  <c r="I351" i="2"/>
  <c r="I350" i="2"/>
  <c r="I349" i="2"/>
  <c r="I348" i="2"/>
  <c r="I347" i="2"/>
  <c r="I346" i="2"/>
  <c r="I345" i="2"/>
  <c r="I344" i="2"/>
  <c r="I343" i="2"/>
  <c r="I342" i="2"/>
  <c r="I341" i="2"/>
  <c r="I340" i="2"/>
  <c r="I339" i="2"/>
  <c r="I338" i="2"/>
  <c r="I337" i="2"/>
  <c r="I336" i="2"/>
  <c r="I335" i="2"/>
  <c r="I334" i="2"/>
  <c r="I333" i="2"/>
  <c r="I332" i="2"/>
  <c r="I331" i="2"/>
  <c r="I330" i="2"/>
  <c r="I329" i="2"/>
  <c r="I328" i="2"/>
  <c r="I327" i="2"/>
  <c r="I326" i="2"/>
  <c r="I325" i="2"/>
  <c r="I324" i="2"/>
  <c r="I323" i="2"/>
  <c r="I322" i="2"/>
  <c r="I321" i="2"/>
  <c r="I320" i="2"/>
  <c r="I319" i="2"/>
  <c r="I318" i="2"/>
  <c r="I317" i="2"/>
  <c r="I316" i="2"/>
  <c r="I315" i="2"/>
  <c r="I314" i="2"/>
  <c r="I313" i="2"/>
  <c r="I312" i="2"/>
  <c r="I311" i="2"/>
  <c r="I310" i="2"/>
  <c r="I309" i="2"/>
  <c r="I308" i="2"/>
  <c r="I307" i="2"/>
  <c r="I306" i="2"/>
  <c r="I305" i="2"/>
  <c r="I304" i="2"/>
  <c r="I303" i="2"/>
  <c r="I302" i="2"/>
  <c r="I301" i="2"/>
  <c r="I300" i="2"/>
  <c r="I299" i="2"/>
  <c r="I298" i="2"/>
  <c r="I297" i="2"/>
  <c r="I296" i="2"/>
  <c r="I295" i="2"/>
  <c r="I294" i="2"/>
  <c r="I293" i="2"/>
  <c r="I292" i="2"/>
  <c r="I291" i="2"/>
  <c r="I290" i="2"/>
  <c r="I289" i="2"/>
  <c r="I288" i="2"/>
  <c r="I287" i="2"/>
  <c r="I286" i="2"/>
  <c r="I285" i="2"/>
  <c r="I284" i="2"/>
  <c r="I283" i="2"/>
  <c r="I282" i="2"/>
  <c r="I281" i="2"/>
  <c r="I280" i="2"/>
  <c r="I279" i="2"/>
  <c r="I278" i="2"/>
  <c r="I277" i="2"/>
  <c r="I276" i="2"/>
  <c r="I275" i="2"/>
  <c r="I274" i="2"/>
  <c r="I273" i="2"/>
  <c r="I272" i="2"/>
  <c r="I271" i="2"/>
  <c r="I270" i="2"/>
  <c r="I269" i="2"/>
  <c r="I268" i="2"/>
  <c r="I267" i="2"/>
  <c r="I266" i="2"/>
  <c r="I265" i="2"/>
  <c r="I264" i="2"/>
  <c r="I263" i="2"/>
  <c r="I262" i="2"/>
  <c r="I261" i="2"/>
  <c r="I260" i="2"/>
  <c r="I259" i="2"/>
  <c r="I258" i="2"/>
  <c r="I257" i="2"/>
  <c r="I256" i="2"/>
  <c r="I255" i="2"/>
  <c r="I254" i="2"/>
  <c r="I253" i="2"/>
  <c r="I252" i="2"/>
  <c r="I251" i="2"/>
  <c r="I250" i="2"/>
  <c r="I249" i="2"/>
  <c r="I248" i="2"/>
  <c r="I247" i="2"/>
  <c r="I246" i="2"/>
  <c r="I245" i="2"/>
  <c r="I244" i="2"/>
  <c r="I243" i="2"/>
  <c r="I242" i="2"/>
  <c r="I241" i="2"/>
  <c r="I240" i="2"/>
  <c r="I239" i="2"/>
  <c r="I238" i="2"/>
  <c r="I237" i="2"/>
  <c r="I236" i="2"/>
  <c r="I235" i="2"/>
  <c r="I234" i="2"/>
  <c r="I233" i="2"/>
  <c r="I232" i="2"/>
  <c r="I231" i="2"/>
  <c r="I230" i="2"/>
  <c r="I229" i="2"/>
  <c r="I228" i="2"/>
  <c r="I227" i="2"/>
  <c r="I226" i="2"/>
  <c r="I225" i="2"/>
  <c r="I224" i="2"/>
  <c r="I223" i="2"/>
  <c r="I222" i="2"/>
  <c r="I221" i="2"/>
  <c r="I220" i="2"/>
  <c r="I219" i="2"/>
  <c r="I218" i="2"/>
  <c r="I217" i="2"/>
  <c r="I216" i="2"/>
  <c r="I215" i="2"/>
  <c r="I214" i="2"/>
  <c r="I213" i="2"/>
  <c r="I212" i="2"/>
  <c r="I211" i="2"/>
  <c r="I210" i="2"/>
  <c r="I209" i="2"/>
  <c r="I208" i="2"/>
  <c r="I207" i="2"/>
  <c r="I206" i="2"/>
  <c r="I205" i="2"/>
  <c r="I204" i="2"/>
  <c r="I203" i="2"/>
  <c r="I202" i="2"/>
  <c r="I201" i="2"/>
  <c r="I200" i="2"/>
  <c r="I199" i="2"/>
  <c r="I198" i="2"/>
  <c r="I197" i="2"/>
  <c r="I196" i="2"/>
  <c r="I195" i="2"/>
  <c r="I194" i="2"/>
  <c r="I193" i="2"/>
  <c r="I192" i="2"/>
  <c r="I191" i="2"/>
  <c r="I190" i="2"/>
  <c r="I189" i="2"/>
  <c r="I188" i="2"/>
  <c r="I187" i="2"/>
  <c r="I186" i="2"/>
  <c r="I185" i="2"/>
  <c r="I184" i="2"/>
  <c r="I183" i="2"/>
  <c r="I182" i="2"/>
  <c r="I181" i="2"/>
  <c r="I180" i="2"/>
  <c r="I179" i="2"/>
  <c r="I178" i="2"/>
  <c r="I177" i="2"/>
  <c r="I176" i="2"/>
  <c r="I175" i="2"/>
  <c r="I174" i="2"/>
  <c r="I173" i="2"/>
  <c r="I172" i="2"/>
  <c r="I171" i="2"/>
  <c r="I170" i="2"/>
  <c r="I169" i="2"/>
  <c r="I168" i="2"/>
  <c r="I167" i="2"/>
  <c r="I166" i="2"/>
  <c r="I165" i="2"/>
  <c r="I164" i="2"/>
  <c r="I163" i="2"/>
  <c r="I162" i="2"/>
  <c r="I161" i="2"/>
  <c r="I160" i="2"/>
  <c r="I159" i="2"/>
  <c r="I158" i="2"/>
  <c r="I157" i="2"/>
  <c r="I156" i="2"/>
  <c r="I155" i="2"/>
  <c r="I154" i="2"/>
  <c r="I153" i="2"/>
  <c r="I152" i="2"/>
  <c r="I151" i="2"/>
  <c r="I150" i="2"/>
  <c r="I149" i="2"/>
  <c r="I148" i="2"/>
  <c r="I147" i="2"/>
  <c r="I146" i="2"/>
  <c r="I145" i="2"/>
  <c r="I144" i="2"/>
  <c r="I143" i="2"/>
  <c r="I142" i="2"/>
  <c r="I141" i="2"/>
  <c r="I140" i="2"/>
  <c r="I139" i="2"/>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alcChain>
</file>

<file path=xl/sharedStrings.xml><?xml version="1.0" encoding="utf-8"?>
<sst xmlns="http://schemas.openxmlformats.org/spreadsheetml/2006/main" count="3588" uniqueCount="1042">
  <si>
    <r>
      <t>ID Karyawan</t>
    </r>
    <r>
      <rPr>
        <sz val="11"/>
        <color theme="0"/>
        <rFont val="Calibri"/>
        <family val="2"/>
        <scheme val="minor"/>
      </rPr>
      <t xml:space="preserve"> (e.g., HR001, HR002)</t>
    </r>
  </si>
  <si>
    <t>Nama Karyawan</t>
  </si>
  <si>
    <r>
      <t>Jenis Kelamin</t>
    </r>
    <r>
      <rPr>
        <sz val="11"/>
        <color theme="0"/>
        <rFont val="Calibri"/>
        <family val="2"/>
        <scheme val="minor"/>
      </rPr>
      <t xml:space="preserve"> (Laki-laki / Perempuan)</t>
    </r>
  </si>
  <si>
    <r>
      <t>Departemen</t>
    </r>
    <r>
      <rPr>
        <sz val="11"/>
        <color theme="0"/>
        <rFont val="Calibri"/>
        <family val="2"/>
        <scheme val="minor"/>
      </rPr>
      <t xml:space="preserve"> (Sales, IT, HR, Marketing, Finance)</t>
    </r>
  </si>
  <si>
    <r>
      <t>Posisi/Jabatan</t>
    </r>
    <r>
      <rPr>
        <sz val="11"/>
        <color theme="0"/>
        <rFont val="Calibri"/>
        <family val="2"/>
        <scheme val="minor"/>
      </rPr>
      <t xml:space="preserve"> (Staff, Manager, Senior)</t>
    </r>
  </si>
  <si>
    <r>
      <t>Status Kerja</t>
    </r>
    <r>
      <rPr>
        <sz val="11"/>
        <color theme="0"/>
        <rFont val="Calibri"/>
        <family val="2"/>
        <scheme val="minor"/>
      </rPr>
      <t xml:space="preserve"> (Kontrak / Tetap)</t>
    </r>
  </si>
  <si>
    <t>Gaji Bulanan</t>
  </si>
  <si>
    <r>
      <t>Rating Performa</t>
    </r>
    <r>
      <rPr>
        <sz val="11"/>
        <color theme="0"/>
        <rFont val="Calibri"/>
        <family val="2"/>
        <scheme val="minor"/>
      </rPr>
      <t xml:space="preserve"> (1 sampai 5)</t>
    </r>
  </si>
  <si>
    <t>HR0001</t>
  </si>
  <si>
    <t>Achmad Fauzi</t>
  </si>
  <si>
    <t>Laki-laki</t>
  </si>
  <si>
    <t>HR</t>
  </si>
  <si>
    <t>Manager</t>
  </si>
  <si>
    <t>Kontrak</t>
  </si>
  <si>
    <t>Aktif</t>
  </si>
  <si>
    <t>HR0002</t>
  </si>
  <si>
    <t>Ade Saputra</t>
  </si>
  <si>
    <t>Sales</t>
  </si>
  <si>
    <t>Resign</t>
  </si>
  <si>
    <t>HR0003</t>
  </si>
  <si>
    <t>Adi Nugroho</t>
  </si>
  <si>
    <t>Finance</t>
  </si>
  <si>
    <t>Tetap</t>
  </si>
  <si>
    <t>HR0004</t>
  </si>
  <si>
    <t>Aditya Pratama</t>
  </si>
  <si>
    <t>Marketing</t>
  </si>
  <si>
    <t>Senior</t>
  </si>
  <si>
    <t>HR0005</t>
  </si>
  <si>
    <t>Agung Prasetyo</t>
  </si>
  <si>
    <t>IT</t>
  </si>
  <si>
    <t>HR0006</t>
  </si>
  <si>
    <t>Agus Santoso</t>
  </si>
  <si>
    <t>HR0007</t>
  </si>
  <si>
    <t>Ahmad Hidayat</t>
  </si>
  <si>
    <t>HR0008</t>
  </si>
  <si>
    <t>Ahmad Dahlan</t>
  </si>
  <si>
    <t>HR0009</t>
  </si>
  <si>
    <t>Airlangga Hartarto</t>
  </si>
  <si>
    <t>HR00010</t>
  </si>
  <si>
    <t>Akbar Tanjung</t>
  </si>
  <si>
    <t>Staff</t>
  </si>
  <si>
    <t>HR00011</t>
  </si>
  <si>
    <t>Aldi Taher</t>
  </si>
  <si>
    <t>HR00012</t>
  </si>
  <si>
    <t>Ali Sadikin</t>
  </si>
  <si>
    <t>HR00013</t>
  </si>
  <si>
    <t>Alamsyah Ratu</t>
  </si>
  <si>
    <t>HR00014</t>
  </si>
  <si>
    <t>Amalia Lestari</t>
  </si>
  <si>
    <t>Perempuan</t>
  </si>
  <si>
    <t>HR00015</t>
  </si>
  <si>
    <t>Amelia Putri</t>
  </si>
  <si>
    <t>HR00016</t>
  </si>
  <si>
    <t>Amin Rais</t>
  </si>
  <si>
    <t>HR00017</t>
  </si>
  <si>
    <t>Andhika Pratama</t>
  </si>
  <si>
    <t>HR00018</t>
  </si>
  <si>
    <t>Andi Wijaya</t>
  </si>
  <si>
    <t>HR00019</t>
  </si>
  <si>
    <t>Andika Perkasa</t>
  </si>
  <si>
    <t>HR00020</t>
  </si>
  <si>
    <t>Andreas Harsono</t>
  </si>
  <si>
    <t>HR00021</t>
  </si>
  <si>
    <t>Andre Taulany</t>
  </si>
  <si>
    <t>HR00022</t>
  </si>
  <si>
    <t>Angga Pratama</t>
  </si>
  <si>
    <t>HR00023</t>
  </si>
  <si>
    <t>Anggi Marito</t>
  </si>
  <si>
    <t>HR00024</t>
  </si>
  <si>
    <t>Anies Baswedan</t>
  </si>
  <si>
    <t>HR00025</t>
  </si>
  <si>
    <t>Anita Yuniar</t>
  </si>
  <si>
    <t>HR00026</t>
  </si>
  <si>
    <t>Annisa Pohan</t>
  </si>
  <si>
    <t>HR00027</t>
  </si>
  <si>
    <t>Anang Hermansyah</t>
  </si>
  <si>
    <t>HR00028</t>
  </si>
  <si>
    <t>Anto Hoed</t>
  </si>
  <si>
    <t>HR00029</t>
  </si>
  <si>
    <t>Anwar Ibrahim</t>
  </si>
  <si>
    <t>HR00030</t>
  </si>
  <si>
    <t>Ardi Bakrie</t>
  </si>
  <si>
    <t>HR00031</t>
  </si>
  <si>
    <t>Ari Lasso</t>
  </si>
  <si>
    <t>HR00032</t>
  </si>
  <si>
    <t>Arief Muhammad</t>
  </si>
  <si>
    <t>HR00033</t>
  </si>
  <si>
    <t>Aries Susanti</t>
  </si>
  <si>
    <t>HR00034</t>
  </si>
  <si>
    <t>Arifin Panigoro</t>
  </si>
  <si>
    <t>HR00035</t>
  </si>
  <si>
    <t>Arya Saloka</t>
  </si>
  <si>
    <t>HR00036</t>
  </si>
  <si>
    <t>Asri Welas</t>
  </si>
  <si>
    <t>HR00037</t>
  </si>
  <si>
    <t>Astri Ivo</t>
  </si>
  <si>
    <t>HR00038</t>
  </si>
  <si>
    <t>Atta Halilintar</t>
  </si>
  <si>
    <t>HR00039</t>
  </si>
  <si>
    <t>Aulia Rahman</t>
  </si>
  <si>
    <t>HR00040</t>
  </si>
  <si>
    <t>Azwar Anas</t>
  </si>
  <si>
    <t>HR00041</t>
  </si>
  <si>
    <t>Bambang Pamungkas</t>
  </si>
  <si>
    <t>HR00042</t>
  </si>
  <si>
    <t>Basuki Tjahaja</t>
  </si>
  <si>
    <t>HR00043</t>
  </si>
  <si>
    <t>Baim Wong</t>
  </si>
  <si>
    <t>HR00044</t>
  </si>
  <si>
    <t>Banyu Biru</t>
  </si>
  <si>
    <t>HR00045</t>
  </si>
  <si>
    <t>Beby Tsabina</t>
  </si>
  <si>
    <t>HR00046</t>
  </si>
  <si>
    <t>Benni Sitompul</t>
  </si>
  <si>
    <t>HR00047</t>
  </si>
  <si>
    <t>Benyamin Sueb</t>
  </si>
  <si>
    <t>HR00048</t>
  </si>
  <si>
    <t>Bimo Picky</t>
  </si>
  <si>
    <t>HR00049</t>
  </si>
  <si>
    <t>Bintoro</t>
  </si>
  <si>
    <t>HR00050</t>
  </si>
  <si>
    <t>Boma Santoso</t>
  </si>
  <si>
    <t>HR00051</t>
  </si>
  <si>
    <t>Boy William</t>
  </si>
  <si>
    <t>HR00052</t>
  </si>
  <si>
    <t>Budi Gunadi</t>
  </si>
  <si>
    <t>HR00053</t>
  </si>
  <si>
    <t>Bunga Citra</t>
  </si>
  <si>
    <t>HR00054</t>
  </si>
  <si>
    <t>Burhanuddin</t>
  </si>
  <si>
    <t>HR00055</t>
  </si>
  <si>
    <t>Caesar Hito</t>
  </si>
  <si>
    <t>HR00056</t>
  </si>
  <si>
    <t>Cantika Abigail</t>
  </si>
  <si>
    <t>HR00057</t>
  </si>
  <si>
    <t>Carissa Putri</t>
  </si>
  <si>
    <t>HR00058</t>
  </si>
  <si>
    <t>Chairul Tanjung</t>
  </si>
  <si>
    <t>HR00059</t>
  </si>
  <si>
    <t>Chelsea Olivia</t>
  </si>
  <si>
    <t>HR00060</t>
  </si>
  <si>
    <t>Chicco Jerikho</t>
  </si>
  <si>
    <t>HR00061</t>
  </si>
  <si>
    <t>Chintami Atmanagara</t>
  </si>
  <si>
    <t>HR00062</t>
  </si>
  <si>
    <t>Choky Sitohang</t>
  </si>
  <si>
    <t>HR00063</t>
  </si>
  <si>
    <t>Christian Sugiono</t>
  </si>
  <si>
    <t>HR00064</t>
  </si>
  <si>
    <t>Christine Hakim</t>
  </si>
  <si>
    <t>HR00065</t>
  </si>
  <si>
    <t>Cici Paramida</t>
  </si>
  <si>
    <t>HR00066</t>
  </si>
  <si>
    <t>Cinta Laura</t>
  </si>
  <si>
    <t>HR00067</t>
  </si>
  <si>
    <t>Citra Kirana</t>
  </si>
  <si>
    <t>HR00068</t>
  </si>
  <si>
    <t>Cut Keke</t>
  </si>
  <si>
    <t>HR00069</t>
  </si>
  <si>
    <t>Cut Mini</t>
  </si>
  <si>
    <t>HR00070</t>
  </si>
  <si>
    <t>Cut Tari</t>
  </si>
  <si>
    <t>HR00071</t>
  </si>
  <si>
    <t>Daffa Wardhana</t>
  </si>
  <si>
    <t>HR00072</t>
  </si>
  <si>
    <t>Dahlan Iskan</t>
  </si>
  <si>
    <t>HR00073</t>
  </si>
  <si>
    <t>Damar Wulan</t>
  </si>
  <si>
    <t>HR00074</t>
  </si>
  <si>
    <t>Damayanti</t>
  </si>
  <si>
    <t>HR00075</t>
  </si>
  <si>
    <t>Danang Sutawijaya</t>
  </si>
  <si>
    <t>HR00076</t>
  </si>
  <si>
    <t>Dani Aditya</t>
  </si>
  <si>
    <t>HR00077</t>
  </si>
  <si>
    <t>Daniel Mananta</t>
  </si>
  <si>
    <t>HR00078</t>
  </si>
  <si>
    <t>Danu Sukma</t>
  </si>
  <si>
    <t>HR00079</t>
  </si>
  <si>
    <t>Darto Helm</t>
  </si>
  <si>
    <t>HR00080</t>
  </si>
  <si>
    <t>Darwis Triadi</t>
  </si>
  <si>
    <t>HR00081</t>
  </si>
  <si>
    <t>Daus Mini</t>
  </si>
  <si>
    <t>HR00082</t>
  </si>
  <si>
    <t>David Chalik</t>
  </si>
  <si>
    <t>HR00083</t>
  </si>
  <si>
    <t>Deddy Mizwar</t>
  </si>
  <si>
    <t>HR00084</t>
  </si>
  <si>
    <t>Dede Yusuf</t>
  </si>
  <si>
    <t>HR00085</t>
  </si>
  <si>
    <t>Delon Thamrin</t>
  </si>
  <si>
    <t>HR00086</t>
  </si>
  <si>
    <t>Denada</t>
  </si>
  <si>
    <t>HR00087</t>
  </si>
  <si>
    <t>Denny Cagur</t>
  </si>
  <si>
    <t>HR00088</t>
  </si>
  <si>
    <t>Denny Sumargo</t>
  </si>
  <si>
    <t>HR00089</t>
  </si>
  <si>
    <t>Derby Romero</t>
  </si>
  <si>
    <t>HR00090</t>
  </si>
  <si>
    <t>Desy Ratnasari</t>
  </si>
  <si>
    <t>HR00091</t>
  </si>
  <si>
    <t>Dewi Perssik</t>
  </si>
  <si>
    <t>HR00092</t>
  </si>
  <si>
    <t>Dian Sastro</t>
  </si>
  <si>
    <t>HR00093</t>
  </si>
  <si>
    <t>Dicky Wahyudi</t>
  </si>
  <si>
    <t>HR00094</t>
  </si>
  <si>
    <t>Didik Nini Thowok</t>
  </si>
  <si>
    <t>HR00095</t>
  </si>
  <si>
    <t>Dimas Seto</t>
  </si>
  <si>
    <t>HR00096</t>
  </si>
  <si>
    <t>Dina Lorenza</t>
  </si>
  <si>
    <t>HR00097</t>
  </si>
  <si>
    <t>Dinda Kanya</t>
  </si>
  <si>
    <t>HR00098</t>
  </si>
  <si>
    <t>Dini Lestari</t>
  </si>
  <si>
    <t>HR00099</t>
  </si>
  <si>
    <t>Dita Fakhrana</t>
  </si>
  <si>
    <t>HR000100</t>
  </si>
  <si>
    <t>Donita</t>
  </si>
  <si>
    <t>HR000101</t>
  </si>
  <si>
    <t>Danang Wijaya</t>
  </si>
  <si>
    <t>HR000102</t>
  </si>
  <si>
    <t>Dani Setiawan</t>
  </si>
  <si>
    <t>HR000103</t>
  </si>
  <si>
    <t>Danu Pratama</t>
  </si>
  <si>
    <t>HR000104</t>
  </si>
  <si>
    <t>Dedi Darmawan</t>
  </si>
  <si>
    <t>HR000105</t>
  </si>
  <si>
    <t>Deddy Corbuzier</t>
  </si>
  <si>
    <t>HR000106</t>
  </si>
  <si>
    <t>Dedy Mulyadi</t>
  </si>
  <si>
    <t>HR000107</t>
  </si>
  <si>
    <t>Deni Ramadhan</t>
  </si>
  <si>
    <t>HR000108</t>
  </si>
  <si>
    <t>Denis Setiawan</t>
  </si>
  <si>
    <t>HR000109</t>
  </si>
  <si>
    <t>Denny Siregar</t>
  </si>
  <si>
    <t>HR000110</t>
  </si>
  <si>
    <t>Desta Mahendra</t>
  </si>
  <si>
    <t>HR000111</t>
  </si>
  <si>
    <t>Devi Permata</t>
  </si>
  <si>
    <t>HR000112</t>
  </si>
  <si>
    <t>Dewi Lestari</t>
  </si>
  <si>
    <t>HR000113</t>
  </si>
  <si>
    <t>Dewi Sartika</t>
  </si>
  <si>
    <t>HR000114</t>
  </si>
  <si>
    <t>Diah Permata</t>
  </si>
  <si>
    <t>HR000115</t>
  </si>
  <si>
    <t>Dian Sastrowardoyo</t>
  </si>
  <si>
    <t>HR000116</t>
  </si>
  <si>
    <t>Diana Puspita</t>
  </si>
  <si>
    <t>HR000117</t>
  </si>
  <si>
    <t>Dicky Chandra</t>
  </si>
  <si>
    <t>HR000118</t>
  </si>
  <si>
    <t>Didi Kempot</t>
  </si>
  <si>
    <t>HR000119</t>
  </si>
  <si>
    <t>Dimas Anggara</t>
  </si>
  <si>
    <t>HR000120</t>
  </si>
  <si>
    <t>Dina Mariana</t>
  </si>
  <si>
    <t>HR000121</t>
  </si>
  <si>
    <t>Dinda Hauw</t>
  </si>
  <si>
    <t>HR000122</t>
  </si>
  <si>
    <t>Dini Aminarti</t>
  </si>
  <si>
    <t>HR000123</t>
  </si>
  <si>
    <t>Dino Patti</t>
  </si>
  <si>
    <t>HR000124</t>
  </si>
  <si>
    <t>Dita Karang</t>
  </si>
  <si>
    <t>HR000125</t>
  </si>
  <si>
    <t>Doddy Sudrajat</t>
  </si>
  <si>
    <t>HR000126</t>
  </si>
  <si>
    <t>Doni Monardo</t>
  </si>
  <si>
    <t>HR000127</t>
  </si>
  <si>
    <t>Donny Damara</t>
  </si>
  <si>
    <t>HR000128</t>
  </si>
  <si>
    <t>Dwi Andhika</t>
  </si>
  <si>
    <t>HR000129</t>
  </si>
  <si>
    <t>Dwi Ariyanti</t>
  </si>
  <si>
    <t>HR000130</t>
  </si>
  <si>
    <t>Eka Ramdani</t>
  </si>
  <si>
    <t>HR000131</t>
  </si>
  <si>
    <t>Eko Patrio</t>
  </si>
  <si>
    <t>HR000132</t>
  </si>
  <si>
    <t>Elvy Sukaesih</t>
  </si>
  <si>
    <t>HR000133</t>
  </si>
  <si>
    <t>Ely Sugigi</t>
  </si>
  <si>
    <t>HR000134</t>
  </si>
  <si>
    <t>Emil Dardak</t>
  </si>
  <si>
    <t>HR000135</t>
  </si>
  <si>
    <t>Endah N Rhesa</t>
  </si>
  <si>
    <t>HR000136</t>
  </si>
  <si>
    <t>Endang S. Taurina</t>
  </si>
  <si>
    <t>HR000137</t>
  </si>
  <si>
    <t>Enny Beatrice</t>
  </si>
  <si>
    <t>HR000138</t>
  </si>
  <si>
    <t>Erick Thohir</t>
  </si>
  <si>
    <t>HR000139</t>
  </si>
  <si>
    <t>Erna Santoso</t>
  </si>
  <si>
    <t>HR000140</t>
  </si>
  <si>
    <t>Erni Yuningsih</t>
  </si>
  <si>
    <t>HR000141</t>
  </si>
  <si>
    <t>Eros Djarot</t>
  </si>
  <si>
    <t>HR000142</t>
  </si>
  <si>
    <t>Ervan Santos</t>
  </si>
  <si>
    <t>HR000143</t>
  </si>
  <si>
    <t>Erwin Gutawa</t>
  </si>
  <si>
    <t>HR000144</t>
  </si>
  <si>
    <t>Evi Tamala</t>
  </si>
  <si>
    <t>HR000145</t>
  </si>
  <si>
    <t>Fachri Albar</t>
  </si>
  <si>
    <t>HR000146</t>
  </si>
  <si>
    <t>Fadhil Muhammad</t>
  </si>
  <si>
    <t>HR000147</t>
  </si>
  <si>
    <t>Fadi Alaydrus</t>
  </si>
  <si>
    <t>HR000148</t>
  </si>
  <si>
    <t>Fadli Zon</t>
  </si>
  <si>
    <t>HR000149</t>
  </si>
  <si>
    <t>Fahri Hamzah</t>
  </si>
  <si>
    <t>HR000150</t>
  </si>
  <si>
    <t>Fajar Sadboy</t>
  </si>
  <si>
    <t>HR000151</t>
  </si>
  <si>
    <t>Fakhri Husaini</t>
  </si>
  <si>
    <t>HR000152</t>
  </si>
  <si>
    <t>Fani Puspita</t>
  </si>
  <si>
    <t>HR000153</t>
  </si>
  <si>
    <t>Farid Hardja</t>
  </si>
  <si>
    <t>HR000154</t>
  </si>
  <si>
    <t>Farhat Abbas</t>
  </si>
  <si>
    <t>HR000155</t>
  </si>
  <si>
    <t>Farida Pasha</t>
  </si>
  <si>
    <t>HR000156</t>
  </si>
  <si>
    <t>Fathir Muchtar</t>
  </si>
  <si>
    <t>HR000157</t>
  </si>
  <si>
    <t>Fatmawati</t>
  </si>
  <si>
    <t>HR000158</t>
  </si>
  <si>
    <t>Fauzi Bowo</t>
  </si>
  <si>
    <t>HR000159</t>
  </si>
  <si>
    <t>Febby Rastanty</t>
  </si>
  <si>
    <t>HR000160</t>
  </si>
  <si>
    <t>Fero Walandouw</t>
  </si>
  <si>
    <t>HR000161</t>
  </si>
  <si>
    <t>Ferry Irawan</t>
  </si>
  <si>
    <t>HR000162</t>
  </si>
  <si>
    <t>Fiersa Besari</t>
  </si>
  <si>
    <t>HR000163</t>
  </si>
  <si>
    <t>Fikri Haikal</t>
  </si>
  <si>
    <t>HR000164</t>
  </si>
  <si>
    <t>Fina Lestari</t>
  </si>
  <si>
    <t>HR000165</t>
  </si>
  <si>
    <t>Fitri Carlina</t>
  </si>
  <si>
    <t>HR000166</t>
  </si>
  <si>
    <t>Fitria Yusuf</t>
  </si>
  <si>
    <t>HR000167</t>
  </si>
  <si>
    <t>Fuad Hassan</t>
  </si>
  <si>
    <t>HR000168</t>
  </si>
  <si>
    <t>Gading Marten</t>
  </si>
  <si>
    <t>HR000169</t>
  </si>
  <si>
    <t>Galih Ginanjar</t>
  </si>
  <si>
    <t>HR000170</t>
  </si>
  <si>
    <t>Gamaliel</t>
  </si>
  <si>
    <t>HR000171</t>
  </si>
  <si>
    <t>Ganjar Pranowo</t>
  </si>
  <si>
    <t>HR000172</t>
  </si>
  <si>
    <t>Ganti Winarno</t>
  </si>
  <si>
    <t>HR000173</t>
  </si>
  <si>
    <t>Gari Sukma</t>
  </si>
  <si>
    <t>HR000174</t>
  </si>
  <si>
    <t>Gathan Saleh</t>
  </si>
  <si>
    <t>HR000175</t>
  </si>
  <si>
    <t>Gede Pasek</t>
  </si>
  <si>
    <t>HR000176</t>
  </si>
  <si>
    <t>Geri Santos</t>
  </si>
  <si>
    <t>HR000177</t>
  </si>
  <si>
    <t>Ghaida Farisya</t>
  </si>
  <si>
    <t>HR000178</t>
  </si>
  <si>
    <t>Gibran Rakabuming</t>
  </si>
  <si>
    <t>HR000179</t>
  </si>
  <si>
    <t>Gideon Tengker</t>
  </si>
  <si>
    <t>HR000180</t>
  </si>
  <si>
    <t>Gilbert Lumoindong</t>
  </si>
  <si>
    <t>HR000181</t>
  </si>
  <si>
    <t>Gita Gutawa</t>
  </si>
  <si>
    <t>HR000182</t>
  </si>
  <si>
    <t>Glenn Fredly</t>
  </si>
  <si>
    <t>HR000183</t>
  </si>
  <si>
    <t>Gogon Srimulat</t>
  </si>
  <si>
    <t>HR000184</t>
  </si>
  <si>
    <t>Grace Natalie</t>
  </si>
  <si>
    <t>HR000185</t>
  </si>
  <si>
    <t>Greysia Polii</t>
  </si>
  <si>
    <t>HR000186</t>
  </si>
  <si>
    <t>Guntur Soekarno</t>
  </si>
  <si>
    <t>HR000187</t>
  </si>
  <si>
    <t>Gusi Santoso</t>
  </si>
  <si>
    <t>HR000188</t>
  </si>
  <si>
    <t>Habibie B.J.</t>
  </si>
  <si>
    <t>HR000189</t>
  </si>
  <si>
    <t>Habil Marati</t>
  </si>
  <si>
    <t>HR000190</t>
  </si>
  <si>
    <t>Hadyanto</t>
  </si>
  <si>
    <t>HR000191</t>
  </si>
  <si>
    <t>Hafizuddin</t>
  </si>
  <si>
    <t>HR000192</t>
  </si>
  <si>
    <t>Haliem Santos</t>
  </si>
  <si>
    <t>HR000193</t>
  </si>
  <si>
    <t>Hamdan Zoelva</t>
  </si>
  <si>
    <t>HR000194</t>
  </si>
  <si>
    <t>Hamish Daud</t>
  </si>
  <si>
    <t>HR000195</t>
  </si>
  <si>
    <t>Hamka Hamzah</t>
  </si>
  <si>
    <t>HR000196</t>
  </si>
  <si>
    <t>Hana Saraswati</t>
  </si>
  <si>
    <t>HR000197</t>
  </si>
  <si>
    <t>Hani Puspita</t>
  </si>
  <si>
    <t>HR000198</t>
  </si>
  <si>
    <t>Hardianto</t>
  </si>
  <si>
    <t>HR000199</t>
  </si>
  <si>
    <t>Haris Azhar</t>
  </si>
  <si>
    <t>HR000200</t>
  </si>
  <si>
    <t>Harry Tanoe</t>
  </si>
  <si>
    <t>HR000201</t>
  </si>
  <si>
    <t>Hendra Lesmana</t>
  </si>
  <si>
    <t>HR000202</t>
  </si>
  <si>
    <t>Hendri Irawan</t>
  </si>
  <si>
    <t>HR000203</t>
  </si>
  <si>
    <t>Heri Susanto</t>
  </si>
  <si>
    <t>HR000204</t>
  </si>
  <si>
    <t>Heru Wibowo</t>
  </si>
  <si>
    <t>HR000205</t>
  </si>
  <si>
    <t>Hdayat Nur</t>
  </si>
  <si>
    <t>HR000206</t>
  </si>
  <si>
    <t>Hikmah Lestari</t>
  </si>
  <si>
    <t>HR000207</t>
  </si>
  <si>
    <t>Ibadurrahman</t>
  </si>
  <si>
    <t>HR000208</t>
  </si>
  <si>
    <t>Ibrahim Malik</t>
  </si>
  <si>
    <t>HR000209</t>
  </si>
  <si>
    <t>Ichsanuddin</t>
  </si>
  <si>
    <t>HR000210</t>
  </si>
  <si>
    <t>Idham Chalid</t>
  </si>
  <si>
    <t>HR000211</t>
  </si>
  <si>
    <t>Idrus Marham</t>
  </si>
  <si>
    <t>HR000212</t>
  </si>
  <si>
    <t>Ihsan Maulana</t>
  </si>
  <si>
    <t>HR000213</t>
  </si>
  <si>
    <t>Iis Dahlia</t>
  </si>
  <si>
    <t>HR000214</t>
  </si>
  <si>
    <t>Ika Puspita</t>
  </si>
  <si>
    <t>HR000215</t>
  </si>
  <si>
    <t>Ikang Fawzi</t>
  </si>
  <si>
    <t>HR000216</t>
  </si>
  <si>
    <t>Ilham Habibie</t>
  </si>
  <si>
    <t>HR000217</t>
  </si>
  <si>
    <t>Imam Nahrawi</t>
  </si>
  <si>
    <t>HR000218</t>
  </si>
  <si>
    <t>Iman Santoso</t>
  </si>
  <si>
    <t>HR000219</t>
  </si>
  <si>
    <t>Imran Khan</t>
  </si>
  <si>
    <t>HR000220</t>
  </si>
  <si>
    <t>Ina Marlina</t>
  </si>
  <si>
    <t>HR000221</t>
  </si>
  <si>
    <t>Indah Permatasari</t>
  </si>
  <si>
    <t>HR000222</t>
  </si>
  <si>
    <t>Indra Lesmana</t>
  </si>
  <si>
    <t>HR000223</t>
  </si>
  <si>
    <t>Indro Warkop</t>
  </si>
  <si>
    <t>HR000224</t>
  </si>
  <si>
    <t>Inul Daratista</t>
  </si>
  <si>
    <t>HR000225</t>
  </si>
  <si>
    <t>Iqbal Ramadhan</t>
  </si>
  <si>
    <t>HR000226</t>
  </si>
  <si>
    <t>Ira Koesno</t>
  </si>
  <si>
    <t>HR000227</t>
  </si>
  <si>
    <t>Irawan Santos</t>
  </si>
  <si>
    <t>HR000228</t>
  </si>
  <si>
    <t>Irma Suryani</t>
  </si>
  <si>
    <t>HR000229</t>
  </si>
  <si>
    <t>Irwan Mussry</t>
  </si>
  <si>
    <t>HR000230</t>
  </si>
  <si>
    <t>Isyana Sarasvati</t>
  </si>
  <si>
    <t>HR000231</t>
  </si>
  <si>
    <t>Ivan Gunawan</t>
  </si>
  <si>
    <t>HR000232</t>
  </si>
  <si>
    <t>Iwan Fals</t>
  </si>
  <si>
    <t>HR000233</t>
  </si>
  <si>
    <t>Iyang P-Project</t>
  </si>
  <si>
    <t>HR000234</t>
  </si>
  <si>
    <t>Jajang C. Noer</t>
  </si>
  <si>
    <t>HR000235</t>
  </si>
  <si>
    <t>Jamal Mirdad</t>
  </si>
  <si>
    <t>HR000236</t>
  </si>
  <si>
    <t>Jamil Azzaini</t>
  </si>
  <si>
    <t>HR000237</t>
  </si>
  <si>
    <t>Janto Silalahi</t>
  </si>
  <si>
    <t>HR000238</t>
  </si>
  <si>
    <t>Jefri Nichol</t>
  </si>
  <si>
    <t>HR000239</t>
  </si>
  <si>
    <t>Jeremy Thomas</t>
  </si>
  <si>
    <t>HR000240</t>
  </si>
  <si>
    <t>Jerry Yan</t>
  </si>
  <si>
    <t>HR000241</t>
  </si>
  <si>
    <t>Jessica Iskandar</t>
  </si>
  <si>
    <t>HR000242</t>
  </si>
  <si>
    <t>Joko Widodo</t>
  </si>
  <si>
    <t>HR000243</t>
  </si>
  <si>
    <t>Jonathan Frizzy</t>
  </si>
  <si>
    <t>HR000244</t>
  </si>
  <si>
    <t>Jono Armstrong</t>
  </si>
  <si>
    <t>HR000245</t>
  </si>
  <si>
    <t>Jopie Latul</t>
  </si>
  <si>
    <t>HR000246</t>
  </si>
  <si>
    <t>Juwita Bahar</t>
  </si>
  <si>
    <t>HR000247</t>
  </si>
  <si>
    <t>Kaka Slank</t>
  </si>
  <si>
    <t>HR000248</t>
  </si>
  <si>
    <t>Kak Seto</t>
  </si>
  <si>
    <t>HR000249</t>
  </si>
  <si>
    <t>Kalla Jusuf</t>
  </si>
  <si>
    <t>HR000250</t>
  </si>
  <si>
    <t>Kamidia Radisti</t>
  </si>
  <si>
    <t>HR000251</t>
  </si>
  <si>
    <t>Karen Agustiawan</t>
  </si>
  <si>
    <t>HR000252</t>
  </si>
  <si>
    <t>Kartika Putri</t>
  </si>
  <si>
    <t>HR000253</t>
  </si>
  <si>
    <t>Katon Bagaskara</t>
  </si>
  <si>
    <t>HR000254</t>
  </si>
  <si>
    <t>Kevin Sanjaya</t>
  </si>
  <si>
    <t>HR000255</t>
  </si>
  <si>
    <t>Khofifah Indar</t>
  </si>
  <si>
    <t>HR000256</t>
  </si>
  <si>
    <t>Ki Manteb</t>
  </si>
  <si>
    <t>HR000257</t>
  </si>
  <si>
    <t>Kiki Fatmala</t>
  </si>
  <si>
    <t>HR000258</t>
  </si>
  <si>
    <t>Kirana Larasati</t>
  </si>
  <si>
    <t>HR000259</t>
  </si>
  <si>
    <t>Komeng</t>
  </si>
  <si>
    <t>HR000260</t>
  </si>
  <si>
    <t>Krisdayanti</t>
  </si>
  <si>
    <t>HR000261</t>
  </si>
  <si>
    <t>Kristina</t>
  </si>
  <si>
    <t>HR000262</t>
  </si>
  <si>
    <t>Kunto Aji</t>
  </si>
  <si>
    <t>HR000263</t>
  </si>
  <si>
    <t>Kusuma Wardhani</t>
  </si>
  <si>
    <t>HR000264</t>
  </si>
  <si>
    <t>Laksmana</t>
  </si>
  <si>
    <t>HR000265</t>
  </si>
  <si>
    <t>Lala Karmela</t>
  </si>
  <si>
    <t>HR000266</t>
  </si>
  <si>
    <t>Larasati</t>
  </si>
  <si>
    <t>HR000267</t>
  </si>
  <si>
    <t>Laudya Cynthia</t>
  </si>
  <si>
    <t>HR000268</t>
  </si>
  <si>
    <t>Laura Basuki</t>
  </si>
  <si>
    <t>HR000269</t>
  </si>
  <si>
    <t>Ledang Sukma</t>
  </si>
  <si>
    <t>HR000270</t>
  </si>
  <si>
    <t>Lembu Wiworo</t>
  </si>
  <si>
    <t>HR000271</t>
  </si>
  <si>
    <t>Lena Marlina</t>
  </si>
  <si>
    <t>HR000272</t>
  </si>
  <si>
    <t>Lestari Handayani</t>
  </si>
  <si>
    <t>HR000273</t>
  </si>
  <si>
    <t>Lia Aminuddin</t>
  </si>
  <si>
    <t>HR000274</t>
  </si>
  <si>
    <t>Lies Hartono</t>
  </si>
  <si>
    <t>HR000275</t>
  </si>
  <si>
    <t>Lily Wahid</t>
  </si>
  <si>
    <t>HR000276</t>
  </si>
  <si>
    <t>Linda Gumelar</t>
  </si>
  <si>
    <t>HR000277</t>
  </si>
  <si>
    <t>Liza Natalia</t>
  </si>
  <si>
    <t>HR000278</t>
  </si>
  <si>
    <t>Lola Amaria</t>
  </si>
  <si>
    <t>HR000279</t>
  </si>
  <si>
    <t>Lukman Sardi</t>
  </si>
  <si>
    <t>HR000280</t>
  </si>
  <si>
    <t>Luna Maya</t>
  </si>
  <si>
    <t>HR000281</t>
  </si>
  <si>
    <t>Lyodra Ginting</t>
  </si>
  <si>
    <t>HR000282</t>
  </si>
  <si>
    <t>Magdalena</t>
  </si>
  <si>
    <t>HR000283</t>
  </si>
  <si>
    <t>Mahendra Siregar</t>
  </si>
  <si>
    <t>HR000284</t>
  </si>
  <si>
    <t>Maudy Ayunda</t>
  </si>
  <si>
    <t>HR000285</t>
  </si>
  <si>
    <t>Megawati Soekarno</t>
  </si>
  <si>
    <t>HR000286</t>
  </si>
  <si>
    <t>Melly Goeslaw</t>
  </si>
  <si>
    <t>HR000287</t>
  </si>
  <si>
    <t>Meriam Bellina</t>
  </si>
  <si>
    <t>HR000288</t>
  </si>
  <si>
    <t>Moeldoko</t>
  </si>
  <si>
    <t>HR000289</t>
  </si>
  <si>
    <t>Mohammad Hatta</t>
  </si>
  <si>
    <t>HR000290</t>
  </si>
  <si>
    <t>Muhaimin Iskandar</t>
  </si>
  <si>
    <t>HR000291</t>
  </si>
  <si>
    <t>Mulan Jameela</t>
  </si>
  <si>
    <t>HR000292</t>
  </si>
  <si>
    <t>Nabila Syakieb</t>
  </si>
  <si>
    <t>HR000293</t>
  </si>
  <si>
    <t>Nadiem Makarim</t>
  </si>
  <si>
    <t>HR000294</t>
  </si>
  <si>
    <t>Nafa Urbach</t>
  </si>
  <si>
    <t>HR000295</t>
  </si>
  <si>
    <t>Najwa Shihab</t>
  </si>
  <si>
    <t>HR000296</t>
  </si>
  <si>
    <t>Nana Mirdad</t>
  </si>
  <si>
    <t>HR000297</t>
  </si>
  <si>
    <t>Nani Wijaya</t>
  </si>
  <si>
    <t>HR000298</t>
  </si>
  <si>
    <t>Nasser Mansoor</t>
  </si>
  <si>
    <t>HR000299</t>
  </si>
  <si>
    <t>Naufal Samudra</t>
  </si>
  <si>
    <t>HR000300</t>
  </si>
  <si>
    <t>HR000301</t>
  </si>
  <si>
    <t>Nia Ramadhani</t>
  </si>
  <si>
    <t>HR000302</t>
  </si>
  <si>
    <t>Nila Sari</t>
  </si>
  <si>
    <t>HR000303</t>
  </si>
  <si>
    <t>Nina Marlina</t>
  </si>
  <si>
    <t>HR000304</t>
  </si>
  <si>
    <t>Ningsih Lestari</t>
  </si>
  <si>
    <t>HR000305</t>
  </si>
  <si>
    <t>Novi Rahmawati</t>
  </si>
  <si>
    <t>HR000306</t>
  </si>
  <si>
    <t>Novia Sari</t>
  </si>
  <si>
    <t>HR000307</t>
  </si>
  <si>
    <t>Novita Sari</t>
  </si>
  <si>
    <t>HR000308</t>
  </si>
  <si>
    <t>Nur Aini</t>
  </si>
  <si>
    <t>HR000309</t>
  </si>
  <si>
    <t>Nur Hasanah</t>
  </si>
  <si>
    <t>HR000310</t>
  </si>
  <si>
    <t>Nur Hidayah</t>
  </si>
  <si>
    <t>HR000311</t>
  </si>
  <si>
    <t>Nurdin Halid</t>
  </si>
  <si>
    <t>HR000312</t>
  </si>
  <si>
    <t>Nurul Aini</t>
  </si>
  <si>
    <t>HR000313</t>
  </si>
  <si>
    <t>Nurul Hidayah</t>
  </si>
  <si>
    <t>HR000314</t>
  </si>
  <si>
    <t>Nurul Huda</t>
  </si>
  <si>
    <t>HR000315</t>
  </si>
  <si>
    <t>Nyoman Rai</t>
  </si>
  <si>
    <t>HR000316</t>
  </si>
  <si>
    <t>Oki Setiana</t>
  </si>
  <si>
    <t>HR000317</t>
  </si>
  <si>
    <t>Olga Syahputra</t>
  </si>
  <si>
    <t>HR000318</t>
  </si>
  <si>
    <t>Olivia Jensen</t>
  </si>
  <si>
    <t>HR000319</t>
  </si>
  <si>
    <t>Ony Syahrial</t>
  </si>
  <si>
    <t>HR000320</t>
  </si>
  <si>
    <t>Oppie Andaresta</t>
  </si>
  <si>
    <t>HR000321</t>
  </si>
  <si>
    <t>Olla Ramlan</t>
  </si>
  <si>
    <t>HR000322</t>
  </si>
  <si>
    <t>Panca Sakti</t>
  </si>
  <si>
    <t>HR000323</t>
  </si>
  <si>
    <t>Pandu Dewanata</t>
  </si>
  <si>
    <t>HR000324</t>
  </si>
  <si>
    <t>Pangeran Diponegoro</t>
  </si>
  <si>
    <t>HR000325</t>
  </si>
  <si>
    <t>Panji Pragiwaksono</t>
  </si>
  <si>
    <t>HR000326</t>
  </si>
  <si>
    <t>Paramitha Rusady</t>
  </si>
  <si>
    <t>HR000327</t>
  </si>
  <si>
    <t>Pasha Ungu</t>
  </si>
  <si>
    <t>HR000328</t>
  </si>
  <si>
    <t>Patrialis Akbar</t>
  </si>
  <si>
    <t>HR000329</t>
  </si>
  <si>
    <t>Pevita Pearce</t>
  </si>
  <si>
    <t>HR000330</t>
  </si>
  <si>
    <t>Poppy Bunga</t>
  </si>
  <si>
    <t>HR000331</t>
  </si>
  <si>
    <t>Praba Wijaya</t>
  </si>
  <si>
    <t>HR000332</t>
  </si>
  <si>
    <t>Prabowo Subianto</t>
  </si>
  <si>
    <t>HR000333</t>
  </si>
  <si>
    <t>Praditya</t>
  </si>
  <si>
    <t>HR000334</t>
  </si>
  <si>
    <t>Prama Ananta</t>
  </si>
  <si>
    <t>HR000335</t>
  </si>
  <si>
    <t>Pramono Anung</t>
  </si>
  <si>
    <t>HR000336</t>
  </si>
  <si>
    <t>Prita Laura</t>
  </si>
  <si>
    <t>HR000337</t>
  </si>
  <si>
    <t>Puan Maharani</t>
  </si>
  <si>
    <t>HR000338</t>
  </si>
  <si>
    <t>Purwadi</t>
  </si>
  <si>
    <t>HR000339</t>
  </si>
  <si>
    <t>Purwanto</t>
  </si>
  <si>
    <t>HR000340</t>
  </si>
  <si>
    <t>Puspa Dewi</t>
  </si>
  <si>
    <t>HR000341</t>
  </si>
  <si>
    <t>Putri Marino</t>
  </si>
  <si>
    <t>HR000342</t>
  </si>
  <si>
    <t>Quraish Shihab</t>
  </si>
  <si>
    <t>HR000343</t>
  </si>
  <si>
    <t>Raden Saleh</t>
  </si>
  <si>
    <t>HR000344</t>
  </si>
  <si>
    <t>Raditya Dika</t>
  </si>
  <si>
    <t>HR000345</t>
  </si>
  <si>
    <t>Rffi Ahmad</t>
  </si>
  <si>
    <t>HR000346</t>
  </si>
  <si>
    <t>Rahmawati</t>
  </si>
  <si>
    <t>HR000347</t>
  </si>
  <si>
    <t>Raisa Andriana</t>
  </si>
  <si>
    <t>HR000348</t>
  </si>
  <si>
    <t>Raja Juli</t>
  </si>
  <si>
    <t>HR000349</t>
  </si>
  <si>
    <t>Rano Karno</t>
  </si>
  <si>
    <t>HR000350</t>
  </si>
  <si>
    <t>Ranty Maria</t>
  </si>
  <si>
    <t>HR000351</t>
  </si>
  <si>
    <t>Rasyid Bakri</t>
  </si>
  <si>
    <t>HR000352</t>
  </si>
  <si>
    <t>Ratna Sarumpaet</t>
  </si>
  <si>
    <t>HR000353</t>
  </si>
  <si>
    <t>Ratu Atut</t>
  </si>
  <si>
    <t>HR000354</t>
  </si>
  <si>
    <t>Ray Sahetapy</t>
  </si>
  <si>
    <t>HR000355</t>
  </si>
  <si>
    <t>Reza Rahadian</t>
  </si>
  <si>
    <t>HR000356</t>
  </si>
  <si>
    <t>Rhenald Kasali</t>
  </si>
  <si>
    <t>HR000357</t>
  </si>
  <si>
    <t>Ria Ricis</t>
  </si>
  <si>
    <t>HR000358</t>
  </si>
  <si>
    <t>Rian D'Masiv</t>
  </si>
  <si>
    <t>HR000359</t>
  </si>
  <si>
    <t>Richard Kyle</t>
  </si>
  <si>
    <t>HR000360</t>
  </si>
  <si>
    <t>Ridwan Kamil</t>
  </si>
  <si>
    <t>HR000361</t>
  </si>
  <si>
    <t>Rini Soemarno</t>
  </si>
  <si>
    <t>HR000362</t>
  </si>
  <si>
    <t>Rinto Harahap</t>
  </si>
  <si>
    <t>HR000363</t>
  </si>
  <si>
    <t>Rio Dewanto</t>
  </si>
  <si>
    <t>HR000364</t>
  </si>
  <si>
    <t>Riza Patria</t>
  </si>
  <si>
    <t>HR000365</t>
  </si>
  <si>
    <t>Rizky Billar</t>
  </si>
  <si>
    <t>HR000366</t>
  </si>
  <si>
    <t>Rizky Febian</t>
  </si>
  <si>
    <t>HR000367</t>
  </si>
  <si>
    <t>Roro Fitria</t>
  </si>
  <si>
    <t>HR000368</t>
  </si>
  <si>
    <t>Roy Marten</t>
  </si>
  <si>
    <t>HR000369</t>
  </si>
  <si>
    <t>Roy Suryo</t>
  </si>
  <si>
    <t>HR000370</t>
  </si>
  <si>
    <t>Rudiantara</t>
  </si>
  <si>
    <t>HR000371</t>
  </si>
  <si>
    <t>Rudy Hartono</t>
  </si>
  <si>
    <t>HR000372</t>
  </si>
  <si>
    <t>Ruhut Sitompul</t>
  </si>
  <si>
    <t>HR000373</t>
  </si>
  <si>
    <t>Rully Nere</t>
  </si>
  <si>
    <t>HR000374</t>
  </si>
  <si>
    <t>Rury Republik</t>
  </si>
  <si>
    <t>HR000375</t>
  </si>
  <si>
    <t>Rusdi Kirana</t>
  </si>
  <si>
    <t>HR000376</t>
  </si>
  <si>
    <t>Sabina Altynbekova</t>
  </si>
  <si>
    <t>HR000377</t>
  </si>
  <si>
    <t>Sahrul Gunawan</t>
  </si>
  <si>
    <t>HR000378</t>
  </si>
  <si>
    <t>Sandiaga Uno</t>
  </si>
  <si>
    <t>HR000379</t>
  </si>
  <si>
    <t>Sandra Dewi</t>
  </si>
  <si>
    <t>HR000380</t>
  </si>
  <si>
    <t>Sarah Sechan</t>
  </si>
  <si>
    <t>HR000381</t>
  </si>
  <si>
    <t>Sastro Wijaya</t>
  </si>
  <si>
    <t>HR000382</t>
  </si>
  <si>
    <t>Sayuti Melik</t>
  </si>
  <si>
    <t>HR000383</t>
  </si>
  <si>
    <t>Septian David</t>
  </si>
  <si>
    <t>HR000384</t>
  </si>
  <si>
    <t>Shafa Harris</t>
  </si>
  <si>
    <t>HR000385</t>
  </si>
  <si>
    <t>Shandy Aulia</t>
  </si>
  <si>
    <t>HR000386</t>
  </si>
  <si>
    <t>Shania Gracia</t>
  </si>
  <si>
    <t>HR000387</t>
  </si>
  <si>
    <t>Shareefa Daanish</t>
  </si>
  <si>
    <t>HR000388</t>
  </si>
  <si>
    <t>Sheila Dara</t>
  </si>
  <si>
    <t>HR000389</t>
  </si>
  <si>
    <t>Sheila On 7</t>
  </si>
  <si>
    <t>HR000390</t>
  </si>
  <si>
    <t>Sherina Munaf</t>
  </si>
  <si>
    <t>HR000391</t>
  </si>
  <si>
    <t>Sigit Purnomo</t>
  </si>
  <si>
    <t>HR000392</t>
  </si>
  <si>
    <t>Sinta Nuriyah</t>
  </si>
  <si>
    <t>HR000393</t>
  </si>
  <si>
    <t>Sinyo Aliandoe</t>
  </si>
  <si>
    <t>HR000394</t>
  </si>
  <si>
    <t>Siskaeee</t>
  </si>
  <si>
    <t>HR000395</t>
  </si>
  <si>
    <t>Sisca Kohl</t>
  </si>
  <si>
    <t>HR000396</t>
  </si>
  <si>
    <t>Siswono Yudo</t>
  </si>
  <si>
    <t>HR000397</t>
  </si>
  <si>
    <t>Siti Badriah</t>
  </si>
  <si>
    <t>HR000398</t>
  </si>
  <si>
    <t>Siti Fadjrijah</t>
  </si>
  <si>
    <t>HR000399</t>
  </si>
  <si>
    <t>Siti Hardiyanti</t>
  </si>
  <si>
    <t>HR000400</t>
  </si>
  <si>
    <t>Siti Rahmawati</t>
  </si>
  <si>
    <t>HR000401</t>
  </si>
  <si>
    <t>Siti Aminah</t>
  </si>
  <si>
    <t>HR000402</t>
  </si>
  <si>
    <t>Siti Aisyah</t>
  </si>
  <si>
    <t>HR000403</t>
  </si>
  <si>
    <t>Slamet Riyadi</t>
  </si>
  <si>
    <t>HR000404</t>
  </si>
  <si>
    <t>Sri Wahyuni</t>
  </si>
  <si>
    <t>HR000405</t>
  </si>
  <si>
    <t>Sri Mulyani</t>
  </si>
  <si>
    <t>HR000406</t>
  </si>
  <si>
    <t>Sri Utami</t>
  </si>
  <si>
    <t>HR000407</t>
  </si>
  <si>
    <t>Suci Rahmawati</t>
  </si>
  <si>
    <t>HR000408</t>
  </si>
  <si>
    <t>Sudirman Hadi</t>
  </si>
  <si>
    <t>HR000409</t>
  </si>
  <si>
    <t>Sugeng Priyono</t>
  </si>
  <si>
    <t>HR000410</t>
  </si>
  <si>
    <t>Suhartono</t>
  </si>
  <si>
    <t>HR000411</t>
  </si>
  <si>
    <t>Sukarno Putra</t>
  </si>
  <si>
    <t>HR000412</t>
  </si>
  <si>
    <t>Sulistyo</t>
  </si>
  <si>
    <t>HR000413</t>
  </si>
  <si>
    <t>Sumarni</t>
  </si>
  <si>
    <t>HR000414</t>
  </si>
  <si>
    <t>Sunarto</t>
  </si>
  <si>
    <t>HR000415</t>
  </si>
  <si>
    <t>Suparman</t>
  </si>
  <si>
    <t>HR000416</t>
  </si>
  <si>
    <t>Supriadi</t>
  </si>
  <si>
    <t>HR000417</t>
  </si>
  <si>
    <t>Supriyanto</t>
  </si>
  <si>
    <t>HR000418</t>
  </si>
  <si>
    <t>Surya Paloh</t>
  </si>
  <si>
    <t>HR000419</t>
  </si>
  <si>
    <t>Suryadi</t>
  </si>
  <si>
    <t>HR000420</t>
  </si>
  <si>
    <t>Susanti</t>
  </si>
  <si>
    <t>HR000421</t>
  </si>
  <si>
    <t>Susilo Bambang</t>
  </si>
  <si>
    <t>HR000422</t>
  </si>
  <si>
    <t>Susi Pudjiastuti</t>
  </si>
  <si>
    <t>HR000423</t>
  </si>
  <si>
    <t>Syahrul Yasin</t>
  </si>
  <si>
    <t>HR000424</t>
  </si>
  <si>
    <t>Syamsul Bahri</t>
  </si>
  <si>
    <t>HR000425</t>
  </si>
  <si>
    <t>Syarif Hidayatullah</t>
  </si>
  <si>
    <t>HR000426</t>
  </si>
  <si>
    <t>Tanti Lestari</t>
  </si>
  <si>
    <t>HR000427</t>
  </si>
  <si>
    <t>Tantowi Yahya</t>
  </si>
  <si>
    <t>HR000428</t>
  </si>
  <si>
    <t>Taufik Hidayat</t>
  </si>
  <si>
    <t>HR000429</t>
  </si>
  <si>
    <t>Taufiq Kiemas</t>
  </si>
  <si>
    <t>HR000430</t>
  </si>
  <si>
    <t>Teddy Indra</t>
  </si>
  <si>
    <t>HR000431</t>
  </si>
  <si>
    <t>Teguh Santoso</t>
  </si>
  <si>
    <t>HR000432</t>
  </si>
  <si>
    <t>Tengku Zulkarnain</t>
  </si>
  <si>
    <t>HR000433</t>
  </si>
  <si>
    <t>Thariq Halilintar</t>
  </si>
  <si>
    <t>HR000434</t>
  </si>
  <si>
    <t>Tika Bisono</t>
  </si>
  <si>
    <t>HR000435</t>
  </si>
  <si>
    <t>Tino Sidin</t>
  </si>
  <si>
    <t>HR000436</t>
  </si>
  <si>
    <t>Tio Pakusadewo</t>
  </si>
  <si>
    <t>HR000437</t>
  </si>
  <si>
    <t>Titi DJ</t>
  </si>
  <si>
    <t>HR000438</t>
  </si>
  <si>
    <t>Titi Kamal</t>
  </si>
  <si>
    <t>HR000439</t>
  </si>
  <si>
    <t>Titiek Puspa</t>
  </si>
  <si>
    <t>HR000440</t>
  </si>
  <si>
    <t>Tito Karnavian</t>
  </si>
  <si>
    <t>HR000441</t>
  </si>
  <si>
    <t>Tompi</t>
  </si>
  <si>
    <t>HR000442</t>
  </si>
  <si>
    <t>Tommy Soeharto</t>
  </si>
  <si>
    <t>HR000443</t>
  </si>
  <si>
    <t>Tri Rismaharini</t>
  </si>
  <si>
    <t>HR000444</t>
  </si>
  <si>
    <t>Tubagus Armand</t>
  </si>
  <si>
    <t>HR000445</t>
  </si>
  <si>
    <t>Tulus</t>
  </si>
  <si>
    <t>HR000446</t>
  </si>
  <si>
    <t>Uce Prasetyo</t>
  </si>
  <si>
    <t>HR000447</t>
  </si>
  <si>
    <t>Ujang Iskandar</t>
  </si>
  <si>
    <t>HR000448</t>
  </si>
  <si>
    <t>Umam Santoso</t>
  </si>
  <si>
    <t>HR000449</t>
  </si>
  <si>
    <t>Umar Patek</t>
  </si>
  <si>
    <t>HR000450</t>
  </si>
  <si>
    <t>Umi Pipik</t>
  </si>
  <si>
    <t>HR000451</t>
  </si>
  <si>
    <t>Unang Bagito</t>
  </si>
  <si>
    <t>HR000452</t>
  </si>
  <si>
    <t>Untung Surapati</t>
  </si>
  <si>
    <t>HR000453</t>
  </si>
  <si>
    <t>Uya Kuya</t>
  </si>
  <si>
    <t>HR000454</t>
  </si>
  <si>
    <t>Vadi Akbar</t>
  </si>
  <si>
    <t>HR000455</t>
  </si>
  <si>
    <t>Valentin</t>
  </si>
  <si>
    <t>HR000456</t>
  </si>
  <si>
    <t>Vanessa Angel</t>
  </si>
  <si>
    <t>HR000457</t>
  </si>
  <si>
    <t>Vebby Palwinta</t>
  </si>
  <si>
    <t>HR000458</t>
  </si>
  <si>
    <t>Vena Melinda</t>
  </si>
  <si>
    <t>HR000459</t>
  </si>
  <si>
    <t>Verrel Bramasta</t>
  </si>
  <si>
    <t>HR000460</t>
  </si>
  <si>
    <t>Vicky Prasetyo</t>
  </si>
  <si>
    <t>HR000461</t>
  </si>
  <si>
    <t>Vincent Rompies</t>
  </si>
  <si>
    <t>HR000462</t>
  </si>
  <si>
    <t>Viona Rosalina</t>
  </si>
  <si>
    <t>HR000463</t>
  </si>
  <si>
    <t>Virzha</t>
  </si>
  <si>
    <t>HR000464</t>
  </si>
  <si>
    <t>Vitalia Sesha</t>
  </si>
  <si>
    <t>HR000465</t>
  </si>
  <si>
    <t>Vonny Cornelia</t>
  </si>
  <si>
    <t>HR000466</t>
  </si>
  <si>
    <t>Wafda Saifan</t>
  </si>
  <si>
    <t>HR000467</t>
  </si>
  <si>
    <t>Wahyu Hidayat</t>
  </si>
  <si>
    <t>HR000468</t>
  </si>
  <si>
    <t>Waldjinah</t>
  </si>
  <si>
    <t>HR000469</t>
  </si>
  <si>
    <t>Wawan Setiawan</t>
  </si>
  <si>
    <t>HR000470</t>
  </si>
  <si>
    <t>Wenda Tan</t>
  </si>
  <si>
    <t>HR000471</t>
  </si>
  <si>
    <t>Wenty Ariyanti</t>
  </si>
  <si>
    <t>HR000472</t>
  </si>
  <si>
    <t>Wibowo Sukarno</t>
  </si>
  <si>
    <t>HR000473</t>
  </si>
  <si>
    <t>Widi Mulia</t>
  </si>
  <si>
    <t>HR000474</t>
  </si>
  <si>
    <t>Widya Lestari</t>
  </si>
  <si>
    <t>HR000475</t>
  </si>
  <si>
    <t>Wijaya Saputra</t>
  </si>
  <si>
    <t>HR000476</t>
  </si>
  <si>
    <t>Wika Salim</t>
  </si>
  <si>
    <t>HR000477</t>
  </si>
  <si>
    <t>Winky Wiryawan</t>
  </si>
  <si>
    <t>HR000478</t>
  </si>
  <si>
    <t>Winona Willy</t>
  </si>
  <si>
    <t>HR000479</t>
  </si>
  <si>
    <t>Wira Nagara</t>
  </si>
  <si>
    <t>HR000480</t>
  </si>
  <si>
    <t>Wiranto</t>
  </si>
  <si>
    <t>HR000481</t>
  </si>
  <si>
    <t>Wulan Guritno</t>
  </si>
  <si>
    <t>HR000482</t>
  </si>
  <si>
    <t>Yadi Sembako</t>
  </si>
  <si>
    <t>HR000483</t>
  </si>
  <si>
    <t>Yanni Libels</t>
  </si>
  <si>
    <t>HR000484</t>
  </si>
  <si>
    <t>Yanto Basna</t>
  </si>
  <si>
    <t>HR000485</t>
  </si>
  <si>
    <t>Yati Octavia</t>
  </si>
  <si>
    <t>HR000486</t>
  </si>
  <si>
    <t>Yayan Ruhian</t>
  </si>
  <si>
    <t>HR000487</t>
  </si>
  <si>
    <t>Yenny Wahid</t>
  </si>
  <si>
    <t>HR000488</t>
  </si>
  <si>
    <t>Yessy Gusman</t>
  </si>
  <si>
    <t>HR000489</t>
  </si>
  <si>
    <t>Yovie Widianto</t>
  </si>
  <si>
    <t>HR000490</t>
  </si>
  <si>
    <t>Yuda Pratama</t>
  </si>
  <si>
    <t>HR000491</t>
  </si>
  <si>
    <t>Yuni Shara</t>
  </si>
  <si>
    <t>HR000492</t>
  </si>
  <si>
    <t>Yurike Sanger</t>
  </si>
  <si>
    <t>HR000493</t>
  </si>
  <si>
    <t>Yusril Ihza</t>
  </si>
  <si>
    <t>HR000494</t>
  </si>
  <si>
    <t>Yustinus Prastowo</t>
  </si>
  <si>
    <t>HR000495</t>
  </si>
  <si>
    <t>Zaskia Adya</t>
  </si>
  <si>
    <t>HR000496</t>
  </si>
  <si>
    <t>Zaskia Sungkar</t>
  </si>
  <si>
    <t>HR000497</t>
  </si>
  <si>
    <t>Zikri Daulay</t>
  </si>
  <si>
    <t>HR000498</t>
  </si>
  <si>
    <t>Ziva Magnolya</t>
  </si>
  <si>
    <t>HR000499</t>
  </si>
  <si>
    <t>Zulkifli Hasan</t>
  </si>
  <si>
    <t>HR000500</t>
  </si>
  <si>
    <t>Hassanudin Noor</t>
  </si>
  <si>
    <t>HR000501</t>
  </si>
  <si>
    <t>Amirudin</t>
  </si>
  <si>
    <t>Count of ID Karyawan (e.g., HR001, HR002)</t>
  </si>
  <si>
    <r>
      <t>Status Aktif</t>
    </r>
    <r>
      <rPr>
        <sz val="11"/>
        <color theme="0"/>
        <rFont val="Calibri"/>
        <family val="2"/>
        <scheme val="minor"/>
      </rPr>
      <t xml:space="preserve"> (Aktif / Resign)</t>
    </r>
  </si>
  <si>
    <t>Status Aktif (Aktif / Resign)</t>
  </si>
  <si>
    <t>Sum of Gaji Bulanan</t>
  </si>
  <si>
    <t>Average of Rating Performa (1 sampai 5)</t>
  </si>
  <si>
    <t>Row Labels</t>
  </si>
  <si>
    <t>Grand Total</t>
  </si>
  <si>
    <t>1. Berapa Banyak Karyawan yang aktif saat ini</t>
  </si>
  <si>
    <t>2. Berapa Total Karyawan yang resign tahun ini</t>
  </si>
  <si>
    <t>3. Berapa total gaji yang dikelurkan Perusahaan untuk karyawan per bulan</t>
  </si>
  <si>
    <t>4. Berapa rata2 performance karyawan aktif</t>
  </si>
  <si>
    <t>Average of Gaji Bulanan</t>
  </si>
  <si>
    <t>HR ANALYTICS DASHBOARD</t>
  </si>
  <si>
    <t>Employe Overview | Updated : August 2026</t>
  </si>
  <si>
    <t>1 Tahun</t>
  </si>
  <si>
    <t>5 Tahun</t>
  </si>
  <si>
    <t>Masa Kerja</t>
  </si>
  <si>
    <t xml:space="preserve">2 Tahun </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</si>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</sst>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Rp&quot;* #,##0;&quot;Rp&quot;* \(#,##0\);&quot;Rp&quot;* &quot;-&quot;;@"/>
    <numFmt numFmtId="165" formatCode="&quot;Rp&quot;* #,##0"/>
  </numFmts>
  <fonts count="6"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26"/>
      <color theme="9" tint="-0.249977111117893"/>
      <name val="Cooper Black"/>
      <family val="1"/>
    </font>
    <font>
      <sz val="24"/>
      <color theme="9" tint="-0.24997711111789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bgColor theme="4"/>
      </patternFill>
    </fill>
    <fill>
      <patternFill patternType="solid">
        <fgColor theme="4" tint="0.79998168889431442"/>
        <bgColor theme="4" tint="0.79998168889431442"/>
      </patternFill>
    </fill>
  </fills>
  <borders count="8">
    <border>
      <left/>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style="thin">
        <color theme="4" tint="0.39997558519241921"/>
      </right>
      <top/>
      <bottom/>
      <diagonal/>
    </border>
  </borders>
  <cellStyleXfs count="1">
    <xf numFmtId="0" fontId="0" fillId="0" borderId="0"/>
  </cellStyleXfs>
  <cellXfs count="32">
    <xf numFmtId="0" fontId="0" fillId="0" borderId="0" xfId="0"/>
    <xf numFmtId="0" fontId="2" fillId="0" borderId="0" xfId="0" applyFont="1"/>
    <xf numFmtId="0" fontId="0" fillId="2" borderId="0" xfId="0" applyFill="1" applyAlignment="1">
      <alignment wrapText="1"/>
    </xf>
    <xf numFmtId="0" fontId="1" fillId="3" borderId="1" xfId="0" applyFont="1" applyFill="1" applyBorder="1"/>
    <xf numFmtId="0" fontId="1" fillId="3" borderId="2" xfId="0" applyFont="1" applyFill="1" applyBorder="1"/>
    <xf numFmtId="0" fontId="1" fillId="3" borderId="3" xfId="0" applyFont="1" applyFill="1" applyBorder="1"/>
    <xf numFmtId="0" fontId="0" fillId="4" borderId="1" xfId="0" applyFill="1" applyBorder="1"/>
    <xf numFmtId="0" fontId="0" fillId="4" borderId="2" xfId="0" applyFill="1" applyBorder="1"/>
    <xf numFmtId="164" fontId="0" fillId="4" borderId="2" xfId="0" applyNumberFormat="1" applyFill="1" applyBorder="1"/>
    <xf numFmtId="0" fontId="0" fillId="4" borderId="3" xfId="0" applyFill="1" applyBorder="1"/>
    <xf numFmtId="0" fontId="0" fillId="0" borderId="1" xfId="0" applyBorder="1"/>
    <xf numFmtId="0" fontId="0" fillId="0" borderId="2" xfId="0" applyBorder="1"/>
    <xf numFmtId="164" fontId="0" fillId="0" borderId="2" xfId="0" applyNumberFormat="1" applyBorder="1"/>
    <xf numFmtId="0" fontId="0" fillId="0" borderId="3" xfId="0" applyBorder="1"/>
    <xf numFmtId="0" fontId="0" fillId="0" borderId="4" xfId="0" applyBorder="1"/>
    <xf numFmtId="0" fontId="0" fillId="0" borderId="5" xfId="0" applyBorder="1"/>
    <xf numFmtId="164" fontId="0" fillId="0" borderId="5" xfId="0" applyNumberFormat="1" applyBorder="1"/>
    <xf numFmtId="0" fontId="0" fillId="0" borderId="6" xfId="0" applyBorder="1"/>
    <xf numFmtId="0" fontId="0" fillId="4" borderId="0" xfId="0" applyFill="1"/>
    <xf numFmtId="164" fontId="0" fillId="4" borderId="0" xfId="0" applyNumberFormat="1" applyFill="1"/>
    <xf numFmtId="0" fontId="0" fillId="4" borderId="7" xfId="0" applyFill="1" applyBorder="1"/>
    <xf numFmtId="0" fontId="0" fillId="0" borderId="0" xfId="0" pivotButton="1"/>
    <xf numFmtId="2" fontId="0" fillId="0" borderId="0" xfId="0" applyNumberFormat="1"/>
    <xf numFmtId="165" fontId="0" fillId="0" borderId="0" xfId="0" applyNumberFormat="1"/>
    <xf numFmtId="0" fontId="0" fillId="0" borderId="0" xfId="0" applyAlignment="1">
      <alignment horizontal="left"/>
    </xf>
    <xf numFmtId="164" fontId="0" fillId="0" borderId="0" xfId="0" applyNumberFormat="1"/>
    <xf numFmtId="0" fontId="0" fillId="0" borderId="0" xfId="0" applyAlignment="1">
      <alignment horizontal="centerContinuous"/>
    </xf>
    <xf numFmtId="0" fontId="4" fillId="0" borderId="0" xfId="0" applyFont="1" applyAlignment="1">
      <alignment horizontal="centerContinuous"/>
    </xf>
    <xf numFmtId="0" fontId="5" fillId="0" borderId="0" xfId="0" applyFont="1" applyAlignment="1">
      <alignment horizontal="centerContinuous"/>
    </xf>
    <xf numFmtId="0" fontId="0" fillId="0" borderId="0" xfId="0" applyAlignment="1">
      <alignment horizontal="center"/>
    </xf>
    <xf numFmtId="0" fontId="1" fillId="3" borderId="2" xfId="0" applyFont="1" applyFill="1" applyBorder="1" applyAlignment="1">
      <alignment horizontal="center"/>
    </xf>
    <xf numFmtId="0" fontId="0" fillId="4" borderId="2" xfId="0" applyFill="1" applyBorder="1" applyAlignment="1">
      <alignment horizontal="center"/>
    </xf>
  </cellXfs>
  <cellStyles count="1">
    <cellStyle name="Normal" xfId="0" builtinId="0"/>
  </cellStyles>
  <dxfs count="5">
    <dxf>
      <numFmt numFmtId="165" formatCode="&quot;Rp&quot;* #,##0"/>
    </dxf>
    <dxf>
      <numFmt numFmtId="166" formatCode="&quot;Rp&quot;* #,##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 Analisis.xlsx]Pivot!Pivot_AktifDeprtment</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Active Employees by Department</a:t>
            </a:r>
          </a:p>
        </c:rich>
      </c:tx>
      <c:layout>
        <c:manualLayout>
          <c:xMode val="edge"/>
          <c:yMode val="edge"/>
          <c:x val="0.28875441829591836"/>
          <c:y val="4.10775623325948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pivotFmt>
    </c:pivotFmts>
    <c:plotArea>
      <c:layout>
        <c:manualLayout>
          <c:layoutTarget val="inner"/>
          <c:xMode val="edge"/>
          <c:yMode val="edge"/>
          <c:x val="0.10177286082557555"/>
          <c:y val="0.21382937278859826"/>
          <c:w val="0.84030686743561678"/>
          <c:h val="0.75008034415197922"/>
        </c:manualLayout>
      </c:layout>
      <c:barChart>
        <c:barDir val="bar"/>
        <c:grouping val="clustered"/>
        <c:varyColors val="0"/>
        <c:ser>
          <c:idx val="0"/>
          <c:order val="0"/>
          <c:tx>
            <c:strRef>
              <c:f>Pivot!$B$24</c:f>
              <c:strCache>
                <c:ptCount val="1"/>
                <c:pt idx="0">
                  <c:v>Total</c:v>
                </c:pt>
              </c:strCache>
            </c:strRef>
          </c:tx>
          <c:spPr>
            <a:solidFill>
              <a:schemeClr val="accent6"/>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0-3D82-489F-87E6-0BCFF10D69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Pivot!$A$25:$A$30</c:f>
              <c:strCache>
                <c:ptCount val="5"/>
                <c:pt idx="0">
                  <c:v>Finance</c:v>
                </c:pt>
                <c:pt idx="1">
                  <c:v>IT</c:v>
                </c:pt>
                <c:pt idx="2">
                  <c:v>Sales</c:v>
                </c:pt>
                <c:pt idx="3">
                  <c:v>Marketing</c:v>
                </c:pt>
                <c:pt idx="4">
                  <c:v>HR</c:v>
                </c:pt>
              </c:strCache>
            </c:strRef>
          </c:cat>
          <c:val>
            <c:numRef>
              <c:f>Pivot!$B$25:$B$30</c:f>
              <c:numCache>
                <c:formatCode>General</c:formatCode>
                <c:ptCount val="5"/>
                <c:pt idx="0">
                  <c:v>58</c:v>
                </c:pt>
                <c:pt idx="1">
                  <c:v>50</c:v>
                </c:pt>
                <c:pt idx="2">
                  <c:v>47</c:v>
                </c:pt>
                <c:pt idx="3">
                  <c:v>44</c:v>
                </c:pt>
                <c:pt idx="4">
                  <c:v>36</c:v>
                </c:pt>
              </c:numCache>
            </c:numRef>
          </c:val>
          <c:extLst>
            <c:ext xmlns:c16="http://schemas.microsoft.com/office/drawing/2014/chart" uri="{C3380CC4-5D6E-409C-BE32-E72D297353CC}">
              <c16:uniqueId val="{00000000-91EF-4267-AC18-CC5E2F513349}"/>
            </c:ext>
          </c:extLst>
        </c:ser>
        <c:dLbls>
          <c:dLblPos val="outEnd"/>
          <c:showLegendKey val="0"/>
          <c:showVal val="1"/>
          <c:showCatName val="0"/>
          <c:showSerName val="0"/>
          <c:showPercent val="0"/>
          <c:showBubbleSize val="0"/>
        </c:dLbls>
        <c:gapWidth val="50"/>
        <c:axId val="452165712"/>
        <c:axId val="522975344"/>
      </c:barChart>
      <c:catAx>
        <c:axId val="45216571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22975344"/>
        <c:crosses val="autoZero"/>
        <c:auto val="1"/>
        <c:lblAlgn val="ctr"/>
        <c:lblOffset val="100"/>
        <c:noMultiLvlLbl val="0"/>
      </c:catAx>
      <c:valAx>
        <c:axId val="522975344"/>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16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 Analisis.xlsx]Pivot!Pivot_Gender</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Gender</a:t>
            </a:r>
            <a:r>
              <a:rPr lang="en-US" sz="1800" b="1" baseline="0"/>
              <a:t> Distribution</a:t>
            </a:r>
            <a:endParaRPr lang="en-US" sz="1800" b="1"/>
          </a:p>
        </c:rich>
      </c:tx>
      <c:layout>
        <c:manualLayout>
          <c:xMode val="edge"/>
          <c:yMode val="edge"/>
          <c:x val="0.28638026226474644"/>
          <c:y val="7.81488592669831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circle"/>
          <c:size val="5"/>
        </c:marke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marker>
          <c:symbol val="none"/>
        </c:marke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tint val="77000"/>
            </a:schemeClr>
          </a:solidFill>
          <a:ln w="19050">
            <a:solidFill>
              <a:schemeClr val="lt1"/>
            </a:solidFill>
          </a:ln>
          <a:effectLst/>
        </c:spPr>
      </c:pivotFmt>
      <c:pivotFmt>
        <c:idx val="3"/>
        <c:spPr>
          <a:solidFill>
            <a:schemeClr val="accent6">
              <a:shade val="76000"/>
            </a:schemeClr>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00B050"/>
          </a:solidFill>
          <a:ln w="19050">
            <a:solidFill>
              <a:schemeClr val="lt1"/>
            </a:solidFill>
          </a:ln>
          <a:effectLst/>
        </c:spPr>
        <c:dLbl>
          <c:idx val="0"/>
          <c:layout>
            <c:manualLayout>
              <c:x val="0.16505628317573368"/>
              <c:y val="3.2222715288967987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0755506735785907"/>
                  <c:h val="0.17498913434817126"/>
                </c:manualLayout>
              </c15:layout>
            </c:ext>
          </c:extLst>
        </c:dLbl>
      </c:pivotFmt>
      <c:pivotFmt>
        <c:idx val="6"/>
        <c:spPr>
          <a:solidFill>
            <a:schemeClr val="accent6">
              <a:shade val="76000"/>
            </a:schemeClr>
          </a:solidFill>
          <a:ln w="19050">
            <a:solidFill>
              <a:schemeClr val="lt1"/>
            </a:solidFill>
          </a:ln>
          <a:effectLst/>
        </c:spPr>
        <c:dLbl>
          <c:idx val="0"/>
          <c:layout>
            <c:manualLayout>
              <c:x val="-0.11117780732044248"/>
              <c:y val="-8.3779059751316748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0333192098334152"/>
          <c:y val="0.22374960521764417"/>
          <c:w val="0.57895050866217312"/>
          <c:h val="0.82390927274823667"/>
        </c:manualLayout>
      </c:layout>
      <c:doughnutChart>
        <c:varyColors val="1"/>
        <c:ser>
          <c:idx val="0"/>
          <c:order val="0"/>
          <c:tx>
            <c:strRef>
              <c:f>Pivot!$B$34</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2A1F-4D58-830C-FD82D1E2723B}"/>
              </c:ext>
            </c:extLst>
          </c:dPt>
          <c:dPt>
            <c:idx val="1"/>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3-2A1F-4D58-830C-FD82D1E2723B}"/>
              </c:ext>
            </c:extLst>
          </c:dPt>
          <c:dLbls>
            <c:dLbl>
              <c:idx val="0"/>
              <c:layout>
                <c:manualLayout>
                  <c:x val="0.16505628317573368"/>
                  <c:y val="3.2222715288967987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0755506735785907"/>
                      <c:h val="0.17498913434817126"/>
                    </c:manualLayout>
                  </c15:layout>
                </c:ext>
                <c:ext xmlns:c16="http://schemas.microsoft.com/office/drawing/2014/chart" uri="{C3380CC4-5D6E-409C-BE32-E72D297353CC}">
                  <c16:uniqueId val="{00000001-2A1F-4D58-830C-FD82D1E2723B}"/>
                </c:ext>
              </c:extLst>
            </c:dLbl>
            <c:dLbl>
              <c:idx val="1"/>
              <c:layout>
                <c:manualLayout>
                  <c:x val="-0.11117780732044248"/>
                  <c:y val="-8.3779059751316748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2A1F-4D58-830C-FD82D1E2723B}"/>
                </c:ext>
              </c:extLst>
            </c:dLbl>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Pivot!$A$35:$A$37</c:f>
              <c:strCache>
                <c:ptCount val="2"/>
                <c:pt idx="0">
                  <c:v>Laki-laki</c:v>
                </c:pt>
                <c:pt idx="1">
                  <c:v>Perempuan</c:v>
                </c:pt>
              </c:strCache>
            </c:strRef>
          </c:cat>
          <c:val>
            <c:numRef>
              <c:f>Pivot!$B$35:$B$37</c:f>
              <c:numCache>
                <c:formatCode>General</c:formatCode>
                <c:ptCount val="2"/>
                <c:pt idx="0">
                  <c:v>148</c:v>
                </c:pt>
                <c:pt idx="1">
                  <c:v>87</c:v>
                </c:pt>
              </c:numCache>
            </c:numRef>
          </c:val>
          <c:extLst>
            <c:ext xmlns:c16="http://schemas.microsoft.com/office/drawing/2014/chart" uri="{C3380CC4-5D6E-409C-BE32-E72D297353CC}">
              <c16:uniqueId val="{00000004-2A1F-4D58-830C-FD82D1E2723B}"/>
            </c:ext>
          </c:extLst>
        </c:ser>
        <c:dLbls>
          <c:showLegendKey val="0"/>
          <c:showVal val="0"/>
          <c:showCatName val="0"/>
          <c:showSerName val="0"/>
          <c:showPercent val="0"/>
          <c:showBubbleSize val="0"/>
          <c:showLeaderLines val="0"/>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 Analisis.xlsx]Pivot!Pivot_StatusEmplyment</c:name>
    <c:fmtId val="14"/>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Employment</a:t>
            </a:r>
            <a:r>
              <a:rPr lang="en-US" sz="1800" b="1" baseline="0"/>
              <a:t> Status</a:t>
            </a:r>
            <a:endParaRPr lang="en-US" sz="1800" b="1"/>
          </a:p>
        </c:rich>
      </c:tx>
      <c:layout>
        <c:manualLayout>
          <c:xMode val="edge"/>
          <c:yMode val="edge"/>
          <c:x val="0.316185494060502"/>
          <c:y val="3.2933710963225206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00B050"/>
          </a:solidFill>
          <a:ln w="19050">
            <a:solidFill>
              <a:schemeClr val="lt1"/>
            </a:solidFill>
          </a:ln>
          <a:effectLst/>
        </c:spPr>
        <c:dLbl>
          <c:idx val="0"/>
          <c:layout>
            <c:manualLayout>
              <c:x val="0.11606539502896271"/>
              <c:y val="-0.1876657775938883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solidFill>
          <a:ln w="19050">
            <a:solidFill>
              <a:schemeClr val="lt1"/>
            </a:solidFill>
          </a:ln>
          <a:effectLst/>
        </c:spPr>
        <c:dLbl>
          <c:idx val="0"/>
          <c:layout>
            <c:manualLayout>
              <c:x val="-6.900297388822918E-2"/>
              <c:y val="-0.132660352267850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5625949721241192"/>
                  <c:h val="0.15339563199189013"/>
                </c:manualLayout>
              </c15:layout>
            </c:ext>
          </c:extLst>
        </c:dLbl>
      </c:pivotFmt>
    </c:pivotFmts>
    <c:plotArea>
      <c:layout>
        <c:manualLayout>
          <c:layoutTarget val="inner"/>
          <c:xMode val="edge"/>
          <c:yMode val="edge"/>
          <c:x val="0.19073653579065716"/>
          <c:y val="0.1370899470899471"/>
          <c:w val="0.64539355277776644"/>
          <c:h val="0.7932695230057859"/>
        </c:manualLayout>
      </c:layout>
      <c:doughnutChart>
        <c:varyColors val="0"/>
        <c:ser>
          <c:idx val="0"/>
          <c:order val="0"/>
          <c:tx>
            <c:strRef>
              <c:f>Pivot!$B$43</c:f>
              <c:strCache>
                <c:ptCount val="1"/>
                <c:pt idx="0">
                  <c:v>Total</c:v>
                </c:pt>
              </c:strCache>
            </c:strRef>
          </c:tx>
          <c:spPr>
            <a:solidFill>
              <a:schemeClr val="accent2"/>
            </a:solidFill>
            <a:ln w="19050">
              <a:solidFill>
                <a:schemeClr val="lt1"/>
              </a:solidFill>
            </a:ln>
            <a:effectLst/>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6F34-4109-956C-3D291DA04A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F34-4109-956C-3D291DA04AFF}"/>
              </c:ext>
            </c:extLst>
          </c:dPt>
          <c:dLbls>
            <c:dLbl>
              <c:idx val="0"/>
              <c:layout>
                <c:manualLayout>
                  <c:x val="0.11606539502896271"/>
                  <c:y val="-0.1876657775938883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6F34-4109-956C-3D291DA04AFF}"/>
                </c:ext>
              </c:extLst>
            </c:dLbl>
            <c:dLbl>
              <c:idx val="1"/>
              <c:layout>
                <c:manualLayout>
                  <c:x val="-6.900297388822918E-2"/>
                  <c:y val="-0.132660352267850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5625949721241192"/>
                      <c:h val="0.15339563199189013"/>
                    </c:manualLayout>
                  </c15:layout>
                </c:ext>
                <c:ext xmlns:c16="http://schemas.microsoft.com/office/drawing/2014/chart" uri="{C3380CC4-5D6E-409C-BE32-E72D297353CC}">
                  <c16:uniqueId val="{00000003-6F34-4109-956C-3D291DA04AF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Pivot!$A$44:$A$46</c:f>
              <c:strCache>
                <c:ptCount val="2"/>
                <c:pt idx="0">
                  <c:v>Kontrak</c:v>
                </c:pt>
                <c:pt idx="1">
                  <c:v>Tetap</c:v>
                </c:pt>
              </c:strCache>
            </c:strRef>
          </c:cat>
          <c:val>
            <c:numRef>
              <c:f>Pivot!$B$44:$B$46</c:f>
              <c:numCache>
                <c:formatCode>General</c:formatCode>
                <c:ptCount val="2"/>
                <c:pt idx="0">
                  <c:v>121</c:v>
                </c:pt>
                <c:pt idx="1">
                  <c:v>114</c:v>
                </c:pt>
              </c:numCache>
            </c:numRef>
          </c:val>
          <c:extLst>
            <c:ext xmlns:c16="http://schemas.microsoft.com/office/drawing/2014/chart" uri="{C3380CC4-5D6E-409C-BE32-E72D297353CC}">
              <c16:uniqueId val="{00000004-6F34-4109-956C-3D291DA04AFF}"/>
            </c:ext>
          </c:extLst>
        </c:ser>
        <c:dLbls>
          <c:showLegendKey val="0"/>
          <c:showVal val="0"/>
          <c:showCatName val="0"/>
          <c:showSerName val="0"/>
          <c:showPercent val="0"/>
          <c:showBubbleSize val="0"/>
          <c:showLeaderLines val="0"/>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 Analisis.xlsx]Pivot!Pivot_AverageSallary</c:name>
    <c:fmtId val="19"/>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t>Average</a:t>
            </a:r>
            <a:r>
              <a:rPr lang="en-US" sz="1800" b="1" baseline="0"/>
              <a:t> Sallary by Department</a:t>
            </a:r>
          </a:p>
        </c:rich>
      </c:tx>
      <c:layout>
        <c:manualLayout>
          <c:xMode val="edge"/>
          <c:yMode val="edge"/>
          <c:x val="0.30501657536774712"/>
          <c:y val="3.9007954078119508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numFmt formatCode="[&gt;=1000000]\R\p0.0,,&quot; Jt&quot;;General"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pivotFmt>
    </c:pivotFmts>
    <c:plotArea>
      <c:layout>
        <c:manualLayout>
          <c:layoutTarget val="inner"/>
          <c:xMode val="edge"/>
          <c:yMode val="edge"/>
          <c:x val="0.13148172647947359"/>
          <c:y val="0.21601553944501081"/>
          <c:w val="0.7601763874700338"/>
          <c:h val="0.73492558020808552"/>
        </c:manualLayout>
      </c:layout>
      <c:barChart>
        <c:barDir val="bar"/>
        <c:grouping val="clustered"/>
        <c:varyColors val="0"/>
        <c:ser>
          <c:idx val="0"/>
          <c:order val="0"/>
          <c:tx>
            <c:strRef>
              <c:f>Pivot!$B$50</c:f>
              <c:strCache>
                <c:ptCount val="1"/>
                <c:pt idx="0">
                  <c:v>Total</c:v>
                </c:pt>
              </c:strCache>
            </c:strRef>
          </c:tx>
          <c:spPr>
            <a:solidFill>
              <a:schemeClr val="accent6"/>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0-D77B-46FC-84E3-8330530B8FEF}"/>
              </c:ext>
            </c:extLst>
          </c:dPt>
          <c:dLbls>
            <c:numFmt formatCode="[&gt;=1000000]\R\p0.0,,&quot; Jt&quot;;General"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Pivot!$A$51:$A$56</c:f>
              <c:strCache>
                <c:ptCount val="5"/>
                <c:pt idx="0">
                  <c:v>Marketing</c:v>
                </c:pt>
                <c:pt idx="1">
                  <c:v>HR</c:v>
                </c:pt>
                <c:pt idx="2">
                  <c:v>Sales</c:v>
                </c:pt>
                <c:pt idx="3">
                  <c:v>IT</c:v>
                </c:pt>
                <c:pt idx="4">
                  <c:v>Finance</c:v>
                </c:pt>
              </c:strCache>
            </c:strRef>
          </c:cat>
          <c:val>
            <c:numRef>
              <c:f>Pivot!$B$51:$B$56</c:f>
              <c:numCache>
                <c:formatCode>"Rp"* #,##0;"Rp"* \(#,##0\);"Rp"* "-";@</c:formatCode>
                <c:ptCount val="5"/>
                <c:pt idx="0">
                  <c:v>14977272.727272727</c:v>
                </c:pt>
                <c:pt idx="1">
                  <c:v>14222222.222222222</c:v>
                </c:pt>
                <c:pt idx="2">
                  <c:v>13765957.446808511</c:v>
                </c:pt>
                <c:pt idx="3">
                  <c:v>13200000</c:v>
                </c:pt>
                <c:pt idx="4">
                  <c:v>13017241.379310345</c:v>
                </c:pt>
              </c:numCache>
            </c:numRef>
          </c:val>
          <c:extLst>
            <c:ext xmlns:c16="http://schemas.microsoft.com/office/drawing/2014/chart" uri="{C3380CC4-5D6E-409C-BE32-E72D297353CC}">
              <c16:uniqueId val="{00000000-180B-4E73-8706-792584779941}"/>
            </c:ext>
          </c:extLst>
        </c:ser>
        <c:dLbls>
          <c:dLblPos val="outEnd"/>
          <c:showLegendKey val="0"/>
          <c:showVal val="1"/>
          <c:showCatName val="0"/>
          <c:showSerName val="0"/>
          <c:showPercent val="0"/>
          <c:showBubbleSize val="0"/>
        </c:dLbls>
        <c:gapWidth val="50"/>
        <c:axId val="715624608"/>
        <c:axId val="719199664"/>
      </c:barChart>
      <c:catAx>
        <c:axId val="71562460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19199664"/>
        <c:crosses val="autoZero"/>
        <c:auto val="1"/>
        <c:lblAlgn val="ctr"/>
        <c:lblOffset val="100"/>
        <c:noMultiLvlLbl val="0"/>
      </c:catAx>
      <c:valAx>
        <c:axId val="719199664"/>
        <c:scaling>
          <c:orientation val="minMax"/>
          <c:min val="0"/>
        </c:scaling>
        <c:delete val="0"/>
        <c:axPos val="t"/>
        <c:numFmt formatCode="&quot;Rp&quot;* #,##0;&quot;Rp&quot;* \(#,##0\);&quot;Rp&quot;* &quot;-&quot;;@" sourceLinked="1"/>
        <c:majorTickMark val="out"/>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715624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 Analisis.xlsx]Pivot!Pivot_AveragePerformance</c:name>
    <c:fmtId val="12"/>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Average Performance by Department</a:t>
            </a:r>
          </a:p>
        </c:rich>
      </c:tx>
      <c:layout>
        <c:manualLayout>
          <c:xMode val="edge"/>
          <c:yMode val="edge"/>
          <c:x val="0.25771219049462313"/>
          <c:y val="4.413610694978029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pivotFmt>
    </c:pivotFmts>
    <c:plotArea>
      <c:layout>
        <c:manualLayout>
          <c:layoutTarget val="inner"/>
          <c:xMode val="edge"/>
          <c:yMode val="edge"/>
          <c:x val="0.14140855770769056"/>
          <c:y val="0.216978430533938"/>
          <c:w val="0.79621456079625397"/>
          <c:h val="0.73300064825631084"/>
        </c:manualLayout>
      </c:layout>
      <c:barChart>
        <c:barDir val="bar"/>
        <c:grouping val="clustered"/>
        <c:varyColors val="0"/>
        <c:ser>
          <c:idx val="0"/>
          <c:order val="0"/>
          <c:tx>
            <c:strRef>
              <c:f>Pivot!$B$60</c:f>
              <c:strCache>
                <c:ptCount val="1"/>
                <c:pt idx="0">
                  <c:v>Total</c:v>
                </c:pt>
              </c:strCache>
            </c:strRef>
          </c:tx>
          <c:spPr>
            <a:solidFill>
              <a:schemeClr val="accent6"/>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C050-4406-87A4-1F96C5D1B2B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Pivot!$A$61:$A$66</c:f>
              <c:strCache>
                <c:ptCount val="5"/>
                <c:pt idx="0">
                  <c:v>Finance</c:v>
                </c:pt>
                <c:pt idx="1">
                  <c:v>IT</c:v>
                </c:pt>
                <c:pt idx="2">
                  <c:v>Sales</c:v>
                </c:pt>
                <c:pt idx="3">
                  <c:v>Marketing</c:v>
                </c:pt>
                <c:pt idx="4">
                  <c:v>HR</c:v>
                </c:pt>
              </c:strCache>
            </c:strRef>
          </c:cat>
          <c:val>
            <c:numRef>
              <c:f>Pivot!$B$61:$B$66</c:f>
              <c:numCache>
                <c:formatCode>0.00</c:formatCode>
                <c:ptCount val="5"/>
                <c:pt idx="0">
                  <c:v>4.1896551724137927</c:v>
                </c:pt>
                <c:pt idx="1">
                  <c:v>4.0599999999999996</c:v>
                </c:pt>
                <c:pt idx="2">
                  <c:v>4</c:v>
                </c:pt>
                <c:pt idx="3">
                  <c:v>3.9545454545454546</c:v>
                </c:pt>
                <c:pt idx="4">
                  <c:v>3.8888888888888888</c:v>
                </c:pt>
              </c:numCache>
            </c:numRef>
          </c:val>
          <c:extLst>
            <c:ext xmlns:c16="http://schemas.microsoft.com/office/drawing/2014/chart" uri="{C3380CC4-5D6E-409C-BE32-E72D297353CC}">
              <c16:uniqueId val="{00000000-C050-4406-87A4-1F96C5D1B2B8}"/>
            </c:ext>
          </c:extLst>
        </c:ser>
        <c:dLbls>
          <c:showLegendKey val="0"/>
          <c:showVal val="0"/>
          <c:showCatName val="0"/>
          <c:showSerName val="0"/>
          <c:showPercent val="0"/>
          <c:showBubbleSize val="0"/>
        </c:dLbls>
        <c:gapWidth val="50"/>
        <c:axId val="2052897775"/>
        <c:axId val="1942638159"/>
      </c:barChart>
      <c:catAx>
        <c:axId val="205289777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42638159"/>
        <c:crosses val="autoZero"/>
        <c:auto val="1"/>
        <c:lblAlgn val="ctr"/>
        <c:lblOffset val="100"/>
        <c:noMultiLvlLbl val="0"/>
      </c:catAx>
      <c:valAx>
        <c:axId val="1942638159"/>
        <c:scaling>
          <c:orientation val="minMax"/>
          <c:max val="5"/>
          <c:min val="0"/>
        </c:scaling>
        <c:delete val="0"/>
        <c:axPos val="t"/>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52897775"/>
        <c:crosses val="autoZero"/>
        <c:crossBetween val="between"/>
        <c:majorUnit val="1"/>
        <c:min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 Analisis.xlsx]Pivot!Pivot_MasaKerja</c:name>
    <c:fmtId val="12"/>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Years of Service</a:t>
            </a:r>
          </a:p>
        </c:rich>
      </c:tx>
      <c:layout>
        <c:manualLayout>
          <c:xMode val="edge"/>
          <c:yMode val="edge"/>
          <c:x val="0.39844202022232622"/>
          <c:y val="5.0217437507335996E-2"/>
        </c:manualLayout>
      </c:layout>
      <c:overlay val="0"/>
      <c:spPr>
        <a:noFill/>
        <a:ln>
          <a:noFill/>
        </a:ln>
        <a:effectLst/>
      </c:sp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ln>
            <a:noFill/>
          </a:ln>
          <a:effectLst/>
        </c:spPr>
      </c:pivotFmt>
    </c:pivotFmts>
    <c:plotArea>
      <c:layout>
        <c:manualLayout>
          <c:layoutTarget val="inner"/>
          <c:xMode val="edge"/>
          <c:yMode val="edge"/>
          <c:x val="9.8101966007142827E-2"/>
          <c:y val="0.25803167717852138"/>
          <c:w val="0.82512355470676368"/>
          <c:h val="0.58808738256500626"/>
        </c:manualLayout>
      </c:layout>
      <c:barChart>
        <c:barDir val="bar"/>
        <c:grouping val="clustered"/>
        <c:varyColors val="0"/>
        <c:ser>
          <c:idx val="0"/>
          <c:order val="0"/>
          <c:tx>
            <c:strRef>
              <c:f>Pivot!$B$70</c:f>
              <c:strCache>
                <c:ptCount val="1"/>
                <c:pt idx="0">
                  <c:v>Total</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1-C81C-4810-9095-22F320329CCA}"/>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Pivot!$A$71:$A$74</c:f>
              <c:strCache>
                <c:ptCount val="3"/>
                <c:pt idx="0">
                  <c:v>5 Tahun</c:v>
                </c:pt>
                <c:pt idx="1">
                  <c:v>1 Tahun</c:v>
                </c:pt>
                <c:pt idx="2">
                  <c:v>2 Tahun </c:v>
                </c:pt>
              </c:strCache>
            </c:strRef>
          </c:cat>
          <c:val>
            <c:numRef>
              <c:f>Pivot!$B$71:$B$74</c:f>
              <c:numCache>
                <c:formatCode>General</c:formatCode>
                <c:ptCount val="3"/>
                <c:pt idx="0">
                  <c:v>76</c:v>
                </c:pt>
                <c:pt idx="1">
                  <c:v>84</c:v>
                </c:pt>
                <c:pt idx="2">
                  <c:v>75</c:v>
                </c:pt>
              </c:numCache>
            </c:numRef>
          </c:val>
          <c:extLst>
            <c:ext xmlns:c16="http://schemas.microsoft.com/office/drawing/2014/chart" uri="{C3380CC4-5D6E-409C-BE32-E72D297353CC}">
              <c16:uniqueId val="{00000000-C81C-4810-9095-22F320329CCA}"/>
            </c:ext>
          </c:extLst>
        </c:ser>
        <c:dLbls>
          <c:dLblPos val="outEnd"/>
          <c:showLegendKey val="0"/>
          <c:showVal val="1"/>
          <c:showCatName val="0"/>
          <c:showSerName val="0"/>
          <c:showPercent val="0"/>
          <c:showBubbleSize val="0"/>
        </c:dLbls>
        <c:gapWidth val="50"/>
        <c:axId val="1908324719"/>
        <c:axId val="1942685679"/>
      </c:barChart>
      <c:catAx>
        <c:axId val="190832471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42685679"/>
        <c:crosses val="autoZero"/>
        <c:auto val="0"/>
        <c:lblAlgn val="ctr"/>
        <c:lblOffset val="100"/>
        <c:noMultiLvlLbl val="0"/>
      </c:catAx>
      <c:valAx>
        <c:axId val="1942685679"/>
        <c:scaling>
          <c:orientation val="minMax"/>
          <c:min val="0"/>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08324719"/>
        <c:crosses val="autoZero"/>
        <c:crossBetween val="between"/>
      </c:valAx>
    </c:plotArea>
    <c:plotVisOnly val="1"/>
    <c:dispBlanksAs val="gap"/>
    <c:showDLblsOverMax val="0"/>
    <c:extLst/>
  </c:chart>
  <c:spPr>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433104</xdr:colOff>
      <xdr:row>9</xdr:row>
      <xdr:rowOff>36739</xdr:rowOff>
    </xdr:from>
    <xdr:to>
      <xdr:col>27</xdr:col>
      <xdr:colOff>495312</xdr:colOff>
      <xdr:row>16</xdr:row>
      <xdr:rowOff>65315</xdr:rowOff>
    </xdr:to>
    <xdr:grpSp>
      <xdr:nvGrpSpPr>
        <xdr:cNvPr id="14" name="Group 13">
          <a:extLst>
            <a:ext uri="{FF2B5EF4-FFF2-40B4-BE49-F238E27FC236}">
              <a16:creationId xmlns:a16="http://schemas.microsoft.com/office/drawing/2014/main" id="{4823BE77-392C-F7B5-6833-FC63488DC125}"/>
            </a:ext>
          </a:extLst>
        </xdr:cNvPr>
        <xdr:cNvGrpSpPr/>
      </xdr:nvGrpSpPr>
      <xdr:grpSpPr>
        <a:xfrm>
          <a:off x="2210156" y="2169202"/>
          <a:ext cx="15344857" cy="1322270"/>
          <a:chOff x="523875" y="161926"/>
          <a:chExt cx="15302207" cy="1362075"/>
        </a:xfrm>
        <a:effectLst>
          <a:outerShdw blurRad="63500" sx="102000" sy="102000" algn="ctr" rotWithShape="0">
            <a:prstClr val="black">
              <a:alpha val="40000"/>
            </a:prstClr>
          </a:outerShdw>
        </a:effectLst>
      </xdr:grpSpPr>
      <xdr:grpSp>
        <xdr:nvGrpSpPr>
          <xdr:cNvPr id="8" name="Group 7">
            <a:extLst>
              <a:ext uri="{FF2B5EF4-FFF2-40B4-BE49-F238E27FC236}">
                <a16:creationId xmlns:a16="http://schemas.microsoft.com/office/drawing/2014/main" id="{02436742-809F-8E1D-A762-92E82A84F21F}"/>
              </a:ext>
            </a:extLst>
          </xdr:cNvPr>
          <xdr:cNvGrpSpPr/>
        </xdr:nvGrpSpPr>
        <xdr:grpSpPr>
          <a:xfrm>
            <a:off x="523875" y="161926"/>
            <a:ext cx="3657600" cy="1333500"/>
            <a:chOff x="190500" y="190501"/>
            <a:chExt cx="2152650" cy="1333500"/>
          </a:xfrm>
        </xdr:grpSpPr>
        <xdr:sp macro="" textlink="">
          <xdr:nvSpPr>
            <xdr:cNvPr id="2" name="Rectangle: Rounded Corners 1">
              <a:extLst>
                <a:ext uri="{FF2B5EF4-FFF2-40B4-BE49-F238E27FC236}">
                  <a16:creationId xmlns:a16="http://schemas.microsoft.com/office/drawing/2014/main" id="{5EF3137F-C11F-504A-D09A-6BF2CB8FD431}"/>
                </a:ext>
              </a:extLst>
            </xdr:cNvPr>
            <xdr:cNvSpPr/>
          </xdr:nvSpPr>
          <xdr:spPr>
            <a:xfrm>
              <a:off x="190500" y="190501"/>
              <a:ext cx="2152650" cy="1333500"/>
            </a:xfrm>
            <a:prstGeom prst="roundRect">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sp macro="" textlink="Pivot!A4">
          <xdr:nvSpPr>
            <xdr:cNvPr id="3" name="TextBox 2">
              <a:extLst>
                <a:ext uri="{FF2B5EF4-FFF2-40B4-BE49-F238E27FC236}">
                  <a16:creationId xmlns:a16="http://schemas.microsoft.com/office/drawing/2014/main" id="{77F525E8-D8B1-B933-BD37-9E42711AE53B}"/>
                </a:ext>
              </a:extLst>
            </xdr:cNvPr>
            <xdr:cNvSpPr txBox="1"/>
          </xdr:nvSpPr>
          <xdr:spPr>
            <a:xfrm>
              <a:off x="951821" y="657225"/>
              <a:ext cx="828676" cy="5143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1D6CC1-7074-4C30-9E51-63A8805B9A74}" type="TxLink">
                <a:rPr lang="en-US" sz="3200" b="0" i="0" u="none" strike="noStrike">
                  <a:solidFill>
                    <a:srgbClr val="000000"/>
                  </a:solidFill>
                  <a:latin typeface="Calibri"/>
                  <a:ea typeface="Calibri"/>
                  <a:cs typeface="Calibri"/>
                </a:rPr>
                <a:pPr/>
                <a:t>235</a:t>
              </a:fld>
              <a:endParaRPr lang="en-US" sz="3200"/>
            </a:p>
          </xdr:txBody>
        </xdr:sp>
        <xdr:sp macro="" textlink="">
          <xdr:nvSpPr>
            <xdr:cNvPr id="4" name="TextBox 3">
              <a:extLst>
                <a:ext uri="{FF2B5EF4-FFF2-40B4-BE49-F238E27FC236}">
                  <a16:creationId xmlns:a16="http://schemas.microsoft.com/office/drawing/2014/main" id="{BC6C58C6-4291-AB9C-BA92-A50C8FDFE6DF}"/>
                </a:ext>
              </a:extLst>
            </xdr:cNvPr>
            <xdr:cNvSpPr txBox="1"/>
          </xdr:nvSpPr>
          <xdr:spPr>
            <a:xfrm>
              <a:off x="795553" y="1143002"/>
              <a:ext cx="1400175" cy="26669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u="none" strike="noStrike">
                  <a:solidFill>
                    <a:srgbClr val="000000"/>
                  </a:solidFill>
                  <a:latin typeface="Calibri"/>
                  <a:ea typeface="Calibri"/>
                  <a:cs typeface="Calibri"/>
                </a:rPr>
                <a:t>Current</a:t>
              </a:r>
              <a:r>
                <a:rPr lang="en-US" sz="1200" b="0" i="0" u="none" strike="noStrike" baseline="0">
                  <a:solidFill>
                    <a:srgbClr val="000000"/>
                  </a:solidFill>
                  <a:latin typeface="Calibri"/>
                  <a:ea typeface="Calibri"/>
                  <a:cs typeface="Calibri"/>
                </a:rPr>
                <a:t> Headcount</a:t>
              </a:r>
            </a:p>
            <a:p>
              <a:endParaRPr lang="en-US" sz="1200" b="0" i="0" u="none" strike="noStrike">
                <a:solidFill>
                  <a:srgbClr val="000000"/>
                </a:solidFill>
                <a:latin typeface="Calibri"/>
                <a:ea typeface="Calibri"/>
                <a:cs typeface="Calibri"/>
              </a:endParaRPr>
            </a:p>
          </xdr:txBody>
        </xdr:sp>
        <xdr:pic>
          <xdr:nvPicPr>
            <xdr:cNvPr id="6" name="Picture 5">
              <a:extLst>
                <a:ext uri="{FF2B5EF4-FFF2-40B4-BE49-F238E27FC236}">
                  <a16:creationId xmlns:a16="http://schemas.microsoft.com/office/drawing/2014/main" id="{42C39911-9C60-8935-2EA0-A9F8310DF3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1397" y="409576"/>
              <a:ext cx="215882" cy="361950"/>
            </a:xfrm>
            <a:prstGeom prst="rect">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pic>
      </xdr:grpSp>
      <xdr:grpSp>
        <xdr:nvGrpSpPr>
          <xdr:cNvPr id="16" name="Group 15">
            <a:extLst>
              <a:ext uri="{FF2B5EF4-FFF2-40B4-BE49-F238E27FC236}">
                <a16:creationId xmlns:a16="http://schemas.microsoft.com/office/drawing/2014/main" id="{8E7BFDF7-F090-9788-3CB8-3F926896E63B}"/>
              </a:ext>
            </a:extLst>
          </xdr:cNvPr>
          <xdr:cNvGrpSpPr/>
        </xdr:nvGrpSpPr>
        <xdr:grpSpPr>
          <a:xfrm>
            <a:off x="4391026" y="190501"/>
            <a:ext cx="3657600" cy="1333500"/>
            <a:chOff x="3069101" y="114301"/>
            <a:chExt cx="2152650" cy="1333500"/>
          </a:xfrm>
        </xdr:grpSpPr>
        <xdr:sp macro="" textlink="">
          <xdr:nvSpPr>
            <xdr:cNvPr id="7" name="Rectangle: Rounded Corners 6">
              <a:extLst>
                <a:ext uri="{FF2B5EF4-FFF2-40B4-BE49-F238E27FC236}">
                  <a16:creationId xmlns:a16="http://schemas.microsoft.com/office/drawing/2014/main" id="{A2C369D9-1B51-BABA-1D9B-9CBC6E7D27A5}"/>
                </a:ext>
              </a:extLst>
            </xdr:cNvPr>
            <xdr:cNvSpPr/>
          </xdr:nvSpPr>
          <xdr:spPr>
            <a:xfrm>
              <a:off x="3069101" y="114301"/>
              <a:ext cx="2152650" cy="1333500"/>
            </a:xfrm>
            <a:prstGeom prst="roundRect">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sp macro="" textlink="">
          <xdr:nvSpPr>
            <xdr:cNvPr id="10" name="TextBox 9">
              <a:extLst>
                <a:ext uri="{FF2B5EF4-FFF2-40B4-BE49-F238E27FC236}">
                  <a16:creationId xmlns:a16="http://schemas.microsoft.com/office/drawing/2014/main" id="{DABA537D-EC93-4D8C-83B4-C289E916255D}"/>
                </a:ext>
              </a:extLst>
            </xdr:cNvPr>
            <xdr:cNvSpPr txBox="1"/>
          </xdr:nvSpPr>
          <xdr:spPr>
            <a:xfrm>
              <a:off x="3847240" y="1114425"/>
              <a:ext cx="771525" cy="26669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u="none" strike="noStrike" baseline="0">
                  <a:solidFill>
                    <a:srgbClr val="000000"/>
                  </a:solidFill>
                  <a:latin typeface="Calibri"/>
                  <a:ea typeface="Calibri"/>
                  <a:cs typeface="Calibri"/>
                </a:rPr>
                <a:t>Resign This Year</a:t>
              </a:r>
            </a:p>
            <a:p>
              <a:endParaRPr lang="en-US" sz="1200" b="0" i="0" u="none" strike="noStrike" baseline="0">
                <a:solidFill>
                  <a:srgbClr val="000000"/>
                </a:solidFill>
                <a:latin typeface="Calibri"/>
                <a:ea typeface="Calibri"/>
                <a:cs typeface="Calibri"/>
              </a:endParaRPr>
            </a:p>
            <a:p>
              <a:endParaRPr lang="en-US" sz="1200" b="0" i="0" u="none" strike="noStrike">
                <a:solidFill>
                  <a:srgbClr val="000000"/>
                </a:solidFill>
                <a:latin typeface="Calibri"/>
                <a:ea typeface="Calibri"/>
                <a:cs typeface="Calibri"/>
              </a:endParaRPr>
            </a:p>
          </xdr:txBody>
        </xdr:sp>
        <xdr:sp macro="" textlink="Pivot!A9">
          <xdr:nvSpPr>
            <xdr:cNvPr id="13" name="TextBox 12">
              <a:extLst>
                <a:ext uri="{FF2B5EF4-FFF2-40B4-BE49-F238E27FC236}">
                  <a16:creationId xmlns:a16="http://schemas.microsoft.com/office/drawing/2014/main" id="{420BE30E-4A57-477C-8F8C-1624B19F7524}"/>
                </a:ext>
              </a:extLst>
            </xdr:cNvPr>
            <xdr:cNvSpPr txBox="1"/>
          </xdr:nvSpPr>
          <xdr:spPr>
            <a:xfrm>
              <a:off x="3901068" y="609600"/>
              <a:ext cx="828676" cy="5143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3397556-D7A2-43B1-AF0C-97D9B647D478}" type="TxLink">
                <a:rPr lang="en-US" sz="3200" b="0" i="0" u="none" strike="noStrike">
                  <a:solidFill>
                    <a:srgbClr val="000000"/>
                  </a:solidFill>
                  <a:latin typeface="Calibri"/>
                  <a:ea typeface="Calibri"/>
                  <a:cs typeface="Calibri"/>
                </a:rPr>
                <a:pPr marL="0" indent="0"/>
                <a:t>266</a:t>
              </a:fld>
              <a:endParaRPr lang="en-US" sz="3200" b="0" i="0" u="none" strike="noStrike">
                <a:solidFill>
                  <a:srgbClr val="000000"/>
                </a:solidFill>
                <a:latin typeface="Calibri"/>
                <a:ea typeface="Calibri"/>
                <a:cs typeface="Calibri"/>
              </a:endParaRPr>
            </a:p>
          </xdr:txBody>
        </xdr:sp>
        <xdr:pic>
          <xdr:nvPicPr>
            <xdr:cNvPr id="15" name="Picture 14">
              <a:extLst>
                <a:ext uri="{FF2B5EF4-FFF2-40B4-BE49-F238E27FC236}">
                  <a16:creationId xmlns:a16="http://schemas.microsoft.com/office/drawing/2014/main" id="{FC20A5F0-5389-1769-209D-37149B39993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064087" y="333375"/>
              <a:ext cx="227094" cy="409575"/>
            </a:xfrm>
            <a:prstGeom prst="rect">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pic>
      </xdr:grpSp>
      <xdr:grpSp>
        <xdr:nvGrpSpPr>
          <xdr:cNvPr id="17" name="Group 16">
            <a:extLst>
              <a:ext uri="{FF2B5EF4-FFF2-40B4-BE49-F238E27FC236}">
                <a16:creationId xmlns:a16="http://schemas.microsoft.com/office/drawing/2014/main" id="{D07E796A-F9F1-5094-68A5-5CD41C1AACD0}"/>
              </a:ext>
            </a:extLst>
          </xdr:cNvPr>
          <xdr:cNvGrpSpPr/>
        </xdr:nvGrpSpPr>
        <xdr:grpSpPr>
          <a:xfrm>
            <a:off x="8258174" y="190501"/>
            <a:ext cx="4210049" cy="1333500"/>
            <a:chOff x="3076575" y="171451"/>
            <a:chExt cx="3124644" cy="1333500"/>
          </a:xfrm>
        </xdr:grpSpPr>
        <xdr:sp macro="" textlink="">
          <xdr:nvSpPr>
            <xdr:cNvPr id="18" name="Rectangle: Rounded Corners 17">
              <a:extLst>
                <a:ext uri="{FF2B5EF4-FFF2-40B4-BE49-F238E27FC236}">
                  <a16:creationId xmlns:a16="http://schemas.microsoft.com/office/drawing/2014/main" id="{70290F89-8629-4FF1-3E46-66218AB81186}"/>
                </a:ext>
              </a:extLst>
            </xdr:cNvPr>
            <xdr:cNvSpPr/>
          </xdr:nvSpPr>
          <xdr:spPr>
            <a:xfrm>
              <a:off x="3076575" y="171451"/>
              <a:ext cx="2714624" cy="1333500"/>
            </a:xfrm>
            <a:prstGeom prst="roundRect">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sp macro="" textlink="">
          <xdr:nvSpPr>
            <xdr:cNvPr id="19" name="TextBox 18">
              <a:extLst>
                <a:ext uri="{FF2B5EF4-FFF2-40B4-BE49-F238E27FC236}">
                  <a16:creationId xmlns:a16="http://schemas.microsoft.com/office/drawing/2014/main" id="{53C3E766-8A4F-2DF1-19CC-24801DF369E3}"/>
                </a:ext>
              </a:extLst>
            </xdr:cNvPr>
            <xdr:cNvSpPr txBox="1"/>
          </xdr:nvSpPr>
          <xdr:spPr>
            <a:xfrm>
              <a:off x="3972966" y="1143000"/>
              <a:ext cx="1304925" cy="26669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u="none" strike="noStrike" baseline="0">
                  <a:solidFill>
                    <a:srgbClr val="000000"/>
                  </a:solidFill>
                  <a:latin typeface="Calibri"/>
                  <a:ea typeface="Calibri"/>
                  <a:cs typeface="Calibri"/>
                </a:rPr>
                <a:t>Monthly Payroll</a:t>
              </a:r>
            </a:p>
            <a:p>
              <a:endParaRPr lang="en-US" sz="1200" b="0" i="0" u="none" strike="noStrike" baseline="0">
                <a:solidFill>
                  <a:srgbClr val="000000"/>
                </a:solidFill>
                <a:latin typeface="Calibri"/>
                <a:ea typeface="Calibri"/>
                <a:cs typeface="Calibri"/>
              </a:endParaRPr>
            </a:p>
            <a:p>
              <a:endParaRPr lang="en-US" sz="1200" b="0" i="0" u="none" strike="noStrike" baseline="0">
                <a:solidFill>
                  <a:srgbClr val="000000"/>
                </a:solidFill>
                <a:latin typeface="Calibri"/>
                <a:ea typeface="Calibri"/>
                <a:cs typeface="Calibri"/>
              </a:endParaRPr>
            </a:p>
            <a:p>
              <a:endParaRPr lang="en-US" sz="1200" b="0" i="0" u="none" strike="noStrike">
                <a:solidFill>
                  <a:srgbClr val="000000"/>
                </a:solidFill>
                <a:latin typeface="Calibri"/>
                <a:ea typeface="Calibri"/>
                <a:cs typeface="Calibri"/>
              </a:endParaRPr>
            </a:p>
          </xdr:txBody>
        </xdr:sp>
        <xdr:sp macro="" textlink="Pivot!B14">
          <xdr:nvSpPr>
            <xdr:cNvPr id="20" name="TextBox 19">
              <a:extLst>
                <a:ext uri="{FF2B5EF4-FFF2-40B4-BE49-F238E27FC236}">
                  <a16:creationId xmlns:a16="http://schemas.microsoft.com/office/drawing/2014/main" id="{A51775CF-CDE0-20BF-F21B-6CC71A6F3416}"/>
                </a:ext>
              </a:extLst>
            </xdr:cNvPr>
            <xdr:cNvSpPr txBox="1"/>
          </xdr:nvSpPr>
          <xdr:spPr>
            <a:xfrm>
              <a:off x="3543744" y="647700"/>
              <a:ext cx="2657475" cy="5143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232353E-921D-434E-8718-A9EE7A1CC9AA}" type="TxLink">
                <a:rPr lang="en-US" sz="3200" b="0" i="0" u="none" strike="noStrike">
                  <a:solidFill>
                    <a:srgbClr val="000000"/>
                  </a:solidFill>
                  <a:latin typeface="Calibri"/>
                  <a:ea typeface="Calibri"/>
                  <a:cs typeface="Calibri"/>
                </a:rPr>
                <a:pPr marL="0" indent="0"/>
                <a:t>Rp 3.23 Miliar</a:t>
              </a:fld>
              <a:endParaRPr lang="en-US" sz="3200" b="0" i="0" u="none" strike="noStrike">
                <a:solidFill>
                  <a:srgbClr val="000000"/>
                </a:solidFill>
                <a:latin typeface="Calibri"/>
                <a:ea typeface="Calibri"/>
                <a:cs typeface="Calibri"/>
              </a:endParaRPr>
            </a:p>
          </xdr:txBody>
        </xdr:sp>
      </xdr:grpSp>
      <xdr:grpSp>
        <xdr:nvGrpSpPr>
          <xdr:cNvPr id="22" name="Group 21">
            <a:extLst>
              <a:ext uri="{FF2B5EF4-FFF2-40B4-BE49-F238E27FC236}">
                <a16:creationId xmlns:a16="http://schemas.microsoft.com/office/drawing/2014/main" id="{EF1E85C8-29B9-ED4A-4861-9B5CAA5E15EA}"/>
              </a:ext>
            </a:extLst>
          </xdr:cNvPr>
          <xdr:cNvGrpSpPr/>
        </xdr:nvGrpSpPr>
        <xdr:grpSpPr>
          <a:xfrm>
            <a:off x="12144375" y="180976"/>
            <a:ext cx="3681707" cy="1333500"/>
            <a:chOff x="3076575" y="171451"/>
            <a:chExt cx="2166838" cy="1333500"/>
          </a:xfrm>
        </xdr:grpSpPr>
        <xdr:sp macro="" textlink="">
          <xdr:nvSpPr>
            <xdr:cNvPr id="23" name="Rectangle: Rounded Corners 22">
              <a:extLst>
                <a:ext uri="{FF2B5EF4-FFF2-40B4-BE49-F238E27FC236}">
                  <a16:creationId xmlns:a16="http://schemas.microsoft.com/office/drawing/2014/main" id="{7807FAD4-B43D-2480-3A9C-F52193757699}"/>
                </a:ext>
              </a:extLst>
            </xdr:cNvPr>
            <xdr:cNvSpPr/>
          </xdr:nvSpPr>
          <xdr:spPr>
            <a:xfrm>
              <a:off x="3076575" y="171451"/>
              <a:ext cx="2152650" cy="1333500"/>
            </a:xfrm>
            <a:prstGeom prst="roundRect">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sp macro="" textlink="">
          <xdr:nvSpPr>
            <xdr:cNvPr id="24" name="TextBox 23">
              <a:extLst>
                <a:ext uri="{FF2B5EF4-FFF2-40B4-BE49-F238E27FC236}">
                  <a16:creationId xmlns:a16="http://schemas.microsoft.com/office/drawing/2014/main" id="{2EF99486-D885-C9BA-6447-E1A97B1A6182}"/>
                </a:ext>
              </a:extLst>
            </xdr:cNvPr>
            <xdr:cNvSpPr txBox="1"/>
          </xdr:nvSpPr>
          <xdr:spPr>
            <a:xfrm>
              <a:off x="3805138" y="1095375"/>
              <a:ext cx="1438275" cy="26669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u="none" strike="noStrike" baseline="0">
                  <a:solidFill>
                    <a:srgbClr val="000000"/>
                  </a:solidFill>
                  <a:latin typeface="Calibri"/>
                  <a:ea typeface="Calibri"/>
                  <a:cs typeface="Calibri"/>
                </a:rPr>
                <a:t>Avg. Performance</a:t>
              </a:r>
            </a:p>
            <a:p>
              <a:endParaRPr lang="en-US" sz="1200" b="0" i="0" u="none" strike="noStrike" baseline="0">
                <a:solidFill>
                  <a:srgbClr val="000000"/>
                </a:solidFill>
                <a:latin typeface="Calibri"/>
                <a:ea typeface="Calibri"/>
                <a:cs typeface="Calibri"/>
              </a:endParaRPr>
            </a:p>
            <a:p>
              <a:endParaRPr lang="en-US" sz="1200" b="0" i="0" u="none" strike="noStrike">
                <a:solidFill>
                  <a:srgbClr val="000000"/>
                </a:solidFill>
                <a:latin typeface="Calibri"/>
                <a:ea typeface="Calibri"/>
                <a:cs typeface="Calibri"/>
              </a:endParaRPr>
            </a:p>
          </xdr:txBody>
        </xdr:sp>
        <xdr:sp macro="" textlink="Pivot!B19">
          <xdr:nvSpPr>
            <xdr:cNvPr id="25" name="TextBox 24">
              <a:extLst>
                <a:ext uri="{FF2B5EF4-FFF2-40B4-BE49-F238E27FC236}">
                  <a16:creationId xmlns:a16="http://schemas.microsoft.com/office/drawing/2014/main" id="{FE5CA30C-EBEC-E4D4-9023-1BCA04FC28BF}"/>
                </a:ext>
              </a:extLst>
            </xdr:cNvPr>
            <xdr:cNvSpPr txBox="1"/>
          </xdr:nvSpPr>
          <xdr:spPr>
            <a:xfrm>
              <a:off x="3832272" y="636449"/>
              <a:ext cx="964938" cy="5143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13F10F0-45F5-4D6A-A0A5-FFFDD06DCF90}" type="TxLink">
                <a:rPr lang="en-US" sz="3200" b="0" i="0" u="none" strike="noStrike">
                  <a:solidFill>
                    <a:srgbClr val="000000"/>
                  </a:solidFill>
                  <a:latin typeface="Calibri"/>
                  <a:ea typeface="Calibri"/>
                  <a:cs typeface="Calibri"/>
                </a:rPr>
                <a:pPr marL="0" indent="0"/>
                <a:t>4.03/5</a:t>
              </a:fld>
              <a:endParaRPr lang="en-US" sz="3200" b="0" i="0" u="none" strike="noStrike">
                <a:solidFill>
                  <a:srgbClr val="000000"/>
                </a:solidFill>
                <a:latin typeface="Calibri"/>
                <a:ea typeface="Calibri"/>
                <a:cs typeface="Calibri"/>
              </a:endParaRPr>
            </a:p>
          </xdr:txBody>
        </xdr:sp>
      </xdr:grpSp>
      <xdr:pic>
        <xdr:nvPicPr>
          <xdr:cNvPr id="9" name="Picture 8">
            <a:extLst>
              <a:ext uri="{FF2B5EF4-FFF2-40B4-BE49-F238E27FC236}">
                <a16:creationId xmlns:a16="http://schemas.microsoft.com/office/drawing/2014/main" id="{4A4F725C-093A-5645-6527-88AA0CBCC94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792201" y="342901"/>
            <a:ext cx="361949" cy="361949"/>
          </a:xfrm>
          <a:prstGeom prst="rect">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pic>
      <xdr:pic>
        <xdr:nvPicPr>
          <xdr:cNvPr id="12" name="Picture 11">
            <a:extLst>
              <a:ext uri="{FF2B5EF4-FFF2-40B4-BE49-F238E27FC236}">
                <a16:creationId xmlns:a16="http://schemas.microsoft.com/office/drawing/2014/main" id="{8929E974-6A9F-2592-31BF-4E32B003F85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922650" y="340500"/>
            <a:ext cx="335775" cy="335775"/>
          </a:xfrm>
          <a:prstGeom prst="rect">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pic>
    </xdr:grpSp>
    <xdr:clientData/>
  </xdr:twoCellAnchor>
  <xdr:twoCellAnchor>
    <xdr:from>
      <xdr:col>1</xdr:col>
      <xdr:colOff>132307</xdr:colOff>
      <xdr:row>17</xdr:row>
      <xdr:rowOff>123697</xdr:rowOff>
    </xdr:from>
    <xdr:to>
      <xdr:col>13</xdr:col>
      <xdr:colOff>373529</xdr:colOff>
      <xdr:row>49</xdr:row>
      <xdr:rowOff>174949</xdr:rowOff>
    </xdr:to>
    <xdr:graphicFrame macro="">
      <xdr:nvGraphicFramePr>
        <xdr:cNvPr id="26" name="Chart 25">
          <a:extLst>
            <a:ext uri="{FF2B5EF4-FFF2-40B4-BE49-F238E27FC236}">
              <a16:creationId xmlns:a16="http://schemas.microsoft.com/office/drawing/2014/main" id="{9FD0BD30-F59B-469F-BD7A-204C7D62AE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559702</xdr:colOff>
      <xdr:row>17</xdr:row>
      <xdr:rowOff>94310</xdr:rowOff>
    </xdr:from>
    <xdr:to>
      <xdr:col>21</xdr:col>
      <xdr:colOff>364746</xdr:colOff>
      <xdr:row>38</xdr:row>
      <xdr:rowOff>56028</xdr:rowOff>
    </xdr:to>
    <xdr:graphicFrame macro="">
      <xdr:nvGraphicFramePr>
        <xdr:cNvPr id="5" name="Chart 4">
          <a:extLst>
            <a:ext uri="{FF2B5EF4-FFF2-40B4-BE49-F238E27FC236}">
              <a16:creationId xmlns:a16="http://schemas.microsoft.com/office/drawing/2014/main" id="{DC44B39B-9C31-4434-860E-A2BC826619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504265</xdr:colOff>
      <xdr:row>17</xdr:row>
      <xdr:rowOff>112059</xdr:rowOff>
    </xdr:from>
    <xdr:to>
      <xdr:col>29</xdr:col>
      <xdr:colOff>345669</xdr:colOff>
      <xdr:row>38</xdr:row>
      <xdr:rowOff>29413</xdr:rowOff>
    </xdr:to>
    <xdr:graphicFrame macro="">
      <xdr:nvGraphicFramePr>
        <xdr:cNvPr id="11" name="Chart 10">
          <a:extLst>
            <a:ext uri="{FF2B5EF4-FFF2-40B4-BE49-F238E27FC236}">
              <a16:creationId xmlns:a16="http://schemas.microsoft.com/office/drawing/2014/main" id="{1E1A11B1-EA32-4AEF-92AF-4251B34038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111361</xdr:colOff>
      <xdr:row>50</xdr:row>
      <xdr:rowOff>126662</xdr:rowOff>
    </xdr:from>
    <xdr:to>
      <xdr:col>13</xdr:col>
      <xdr:colOff>388776</xdr:colOff>
      <xdr:row>89</xdr:row>
      <xdr:rowOff>174949</xdr:rowOff>
    </xdr:to>
    <xdr:graphicFrame macro="">
      <xdr:nvGraphicFramePr>
        <xdr:cNvPr id="21" name="Chart 20">
          <a:extLst>
            <a:ext uri="{FF2B5EF4-FFF2-40B4-BE49-F238E27FC236}">
              <a16:creationId xmlns:a16="http://schemas.microsoft.com/office/drawing/2014/main" id="{6A2AD05A-A341-40A4-BBAF-864962802D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563726</xdr:colOff>
      <xdr:row>39</xdr:row>
      <xdr:rowOff>4370</xdr:rowOff>
    </xdr:from>
    <xdr:to>
      <xdr:col>29</xdr:col>
      <xdr:colOff>330459</xdr:colOff>
      <xdr:row>66</xdr:row>
      <xdr:rowOff>38878</xdr:rowOff>
    </xdr:to>
    <xdr:graphicFrame macro="">
      <xdr:nvGraphicFramePr>
        <xdr:cNvPr id="27" name="Chart 26">
          <a:extLst>
            <a:ext uri="{FF2B5EF4-FFF2-40B4-BE49-F238E27FC236}">
              <a16:creationId xmlns:a16="http://schemas.microsoft.com/office/drawing/2014/main" id="{DEDE2B1D-0F13-4DE9-A852-449D0ED853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579869</xdr:colOff>
      <xdr:row>67</xdr:row>
      <xdr:rowOff>12849</xdr:rowOff>
    </xdr:from>
    <xdr:to>
      <xdr:col>29</xdr:col>
      <xdr:colOff>336176</xdr:colOff>
      <xdr:row>90</xdr:row>
      <xdr:rowOff>592</xdr:rowOff>
    </xdr:to>
    <xdr:graphicFrame macro="">
      <xdr:nvGraphicFramePr>
        <xdr:cNvPr id="28" name="Chart 27">
          <a:extLst>
            <a:ext uri="{FF2B5EF4-FFF2-40B4-BE49-F238E27FC236}">
              <a16:creationId xmlns:a16="http://schemas.microsoft.com/office/drawing/2014/main" id="{F7559AFE-F035-4A2C-B864-22AADF0262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xdr:col>
      <xdr:colOff>104211</xdr:colOff>
      <xdr:row>3</xdr:row>
      <xdr:rowOff>104542</xdr:rowOff>
    </xdr:from>
    <xdr:to>
      <xdr:col>10</xdr:col>
      <xdr:colOff>553912</xdr:colOff>
      <xdr:row>8</xdr:row>
      <xdr:rowOff>81311</xdr:rowOff>
    </xdr:to>
    <mc:AlternateContent xmlns:mc="http://schemas.openxmlformats.org/markup-compatibility/2006" xmlns:a14="http://schemas.microsoft.com/office/drawing/2010/main">
      <mc:Choice Requires="a14">
        <xdr:graphicFrame macro="">
          <xdr:nvGraphicFramePr>
            <xdr:cNvPr id="29" name="Jenis Kelamin (Laki-laki / Perempuan)">
              <a:extLst>
                <a:ext uri="{FF2B5EF4-FFF2-40B4-BE49-F238E27FC236}">
                  <a16:creationId xmlns:a16="http://schemas.microsoft.com/office/drawing/2014/main" id="{8981BEC6-6C1C-4761-BF4A-00418A5893EB}"/>
                </a:ext>
              </a:extLst>
            </xdr:cNvPr>
            <xdr:cNvGraphicFramePr/>
          </xdr:nvGraphicFramePr>
          <xdr:xfrm>
            <a:off x="0" y="0"/>
            <a:ext cx="0" cy="0"/>
          </xdr:xfrm>
          <a:graphic>
            <a:graphicData uri="http://schemas.microsoft.com/office/drawing/2010/slicer">
              <sle:slicer xmlns:sle="http://schemas.microsoft.com/office/drawing/2010/slicer" name="Jenis Kelamin (Laki-laki / Perempuan)"/>
            </a:graphicData>
          </a:graphic>
        </xdr:graphicFrame>
      </mc:Choice>
      <mc:Fallback xmlns="">
        <xdr:sp macro="" textlink="">
          <xdr:nvSpPr>
            <xdr:cNvPr id="0" name=""/>
            <xdr:cNvSpPr>
              <a:spLocks noTextEdit="1"/>
            </xdr:cNvSpPr>
          </xdr:nvSpPr>
          <xdr:spPr>
            <a:xfrm>
              <a:off x="2495594" y="1138106"/>
              <a:ext cx="4705552" cy="9394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320964</xdr:colOff>
      <xdr:row>3</xdr:row>
      <xdr:rowOff>77130</xdr:rowOff>
    </xdr:from>
    <xdr:to>
      <xdr:col>28</xdr:col>
      <xdr:colOff>34516</xdr:colOff>
      <xdr:row>8</xdr:row>
      <xdr:rowOff>81312</xdr:rowOff>
    </xdr:to>
    <mc:AlternateContent xmlns:mc="http://schemas.openxmlformats.org/markup-compatibility/2006" xmlns:a14="http://schemas.microsoft.com/office/drawing/2010/main">
      <mc:Choice Requires="a14">
        <xdr:graphicFrame macro="">
          <xdr:nvGraphicFramePr>
            <xdr:cNvPr id="30" name="Departemen (Sales, IT, HR, Marketing, Finance)">
              <a:extLst>
                <a:ext uri="{FF2B5EF4-FFF2-40B4-BE49-F238E27FC236}">
                  <a16:creationId xmlns:a16="http://schemas.microsoft.com/office/drawing/2014/main" id="{D79F1DEE-776A-4516-81BF-F341E914802D}"/>
                </a:ext>
              </a:extLst>
            </xdr:cNvPr>
            <xdr:cNvGraphicFramePr/>
          </xdr:nvGraphicFramePr>
          <xdr:xfrm>
            <a:off x="0" y="0"/>
            <a:ext cx="0" cy="0"/>
          </xdr:xfrm>
          <a:graphic>
            <a:graphicData uri="http://schemas.microsoft.com/office/drawing/2010/slicer">
              <sle:slicer xmlns:sle="http://schemas.microsoft.com/office/drawing/2010/slicer" name="Departemen (Sales, IT, HR, Marketing, Finance)"/>
            </a:graphicData>
          </a:graphic>
        </xdr:graphicFrame>
      </mc:Choice>
      <mc:Fallback xmlns="">
        <xdr:sp macro="" textlink="">
          <xdr:nvSpPr>
            <xdr:cNvPr id="0" name=""/>
            <xdr:cNvSpPr>
              <a:spLocks noTextEdit="1"/>
            </xdr:cNvSpPr>
          </xdr:nvSpPr>
          <xdr:spPr>
            <a:xfrm>
              <a:off x="13047985" y="1110694"/>
              <a:ext cx="4577382" cy="9668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274734</xdr:colOff>
      <xdr:row>3</xdr:row>
      <xdr:rowOff>96179</xdr:rowOff>
    </xdr:from>
    <xdr:to>
      <xdr:col>19</xdr:col>
      <xdr:colOff>542297</xdr:colOff>
      <xdr:row>8</xdr:row>
      <xdr:rowOff>92928</xdr:rowOff>
    </xdr:to>
    <mc:AlternateContent xmlns:mc="http://schemas.openxmlformats.org/markup-compatibility/2006" xmlns:a14="http://schemas.microsoft.com/office/drawing/2010/main">
      <mc:Choice Requires="a14">
        <xdr:graphicFrame macro="">
          <xdr:nvGraphicFramePr>
            <xdr:cNvPr id="31" name="Status Kerja (Kontrak / Tetap)">
              <a:extLst>
                <a:ext uri="{FF2B5EF4-FFF2-40B4-BE49-F238E27FC236}">
                  <a16:creationId xmlns:a16="http://schemas.microsoft.com/office/drawing/2014/main" id="{3EF64809-86AC-4019-A117-219E6E687C23}"/>
                </a:ext>
              </a:extLst>
            </xdr:cNvPr>
            <xdr:cNvGraphicFramePr/>
          </xdr:nvGraphicFramePr>
          <xdr:xfrm>
            <a:off x="0" y="0"/>
            <a:ext cx="0" cy="0"/>
          </xdr:xfrm>
          <a:graphic>
            <a:graphicData uri="http://schemas.microsoft.com/office/drawing/2010/slicer">
              <sle:slicer xmlns:sle="http://schemas.microsoft.com/office/drawing/2010/slicer" name="Status Kerja (Kontrak / Tetap)"/>
            </a:graphicData>
          </a:graphic>
        </xdr:graphicFrame>
      </mc:Choice>
      <mc:Fallback xmlns="">
        <xdr:sp macro="" textlink="">
          <xdr:nvSpPr>
            <xdr:cNvPr id="0" name=""/>
            <xdr:cNvSpPr>
              <a:spLocks noTextEdit="1"/>
            </xdr:cNvSpPr>
          </xdr:nvSpPr>
          <xdr:spPr>
            <a:xfrm>
              <a:off x="7529947" y="1129743"/>
              <a:ext cx="5131393" cy="9593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39.902285185184" missingItemsLimit="0" createdVersion="8" refreshedVersion="8" minRefreshableVersion="3" recordCount="501" xr:uid="{6D3BA54E-DD38-476F-A19D-7C6B6FD9C870}">
  <cacheSource type="worksheet">
    <worksheetSource ref="A3:J504" sheet="Data"/>
  </cacheSource>
  <cacheFields count="10">
    <cacheField name="ID Karyawan (e.g., HR001, HR002)" numFmtId="0">
      <sharedItems/>
    </cacheField>
    <cacheField name="Nama Karyawan" numFmtId="0">
      <sharedItems/>
    </cacheField>
    <cacheField name="Jenis Kelamin (Laki-laki / Perempuan)" numFmtId="0">
      <sharedItems count="2">
        <s v="Laki-laki"/>
        <s v="Perempuan"/>
      </sharedItems>
    </cacheField>
    <cacheField name="Departemen (Sales, IT, HR, Marketing, Finance)" numFmtId="0">
      <sharedItems count="5">
        <s v="HR"/>
        <s v="Sales"/>
        <s v="Finance"/>
        <s v="Marketing"/>
        <s v="IT"/>
      </sharedItems>
    </cacheField>
    <cacheField name="Posisi/Jabatan (Staff, Manager, Senior)" numFmtId="0">
      <sharedItems/>
    </cacheField>
    <cacheField name="Status Kerja (Kontrak / Tetap)" numFmtId="0">
      <sharedItems count="2">
        <s v="Kontrak"/>
        <s v="Tetap"/>
      </sharedItems>
    </cacheField>
    <cacheField name="Status Aktif (Aktif / Resign)" numFmtId="0">
      <sharedItems count="2">
        <s v="Aktif"/>
        <s v="Resign"/>
      </sharedItems>
    </cacheField>
    <cacheField name="Masa Kerja" numFmtId="0">
      <sharedItems count="3">
        <s v="5 Tahun"/>
        <s v="2 Tahun "/>
        <s v="1 Tahun"/>
      </sharedItems>
    </cacheField>
    <cacheField name="Gaji Bulanan" numFmtId="164">
      <sharedItems containsSemiMixedTypes="0" containsString="0" containsNumber="1" containsInteger="1" minValue="7000000" maxValue="20000000"/>
    </cacheField>
    <cacheField name="Rating Performa (1 sampai 5)" numFmtId="0">
      <sharedItems containsSemiMixedTypes="0" containsString="0" containsNumber="1" containsInteger="1" minValue="3" maxValue="5"/>
    </cacheField>
  </cacheFields>
  <extLst>
    <ext xmlns:x14="http://schemas.microsoft.com/office/spreadsheetml/2009/9/main" uri="{725AE2AE-9491-48be-B2B4-4EB974FC3084}">
      <x14:pivotCacheDefinition pivotCacheId="8017996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s v="HR0001"/>
    <s v="Achmad Fauzi"/>
    <x v="0"/>
    <x v="0"/>
    <s v="Manager"/>
    <x v="0"/>
    <x v="0"/>
    <x v="0"/>
    <n v="20000000"/>
    <n v="3"/>
  </r>
  <r>
    <s v="HR0002"/>
    <s v="Ade Saputra"/>
    <x v="0"/>
    <x v="1"/>
    <s v="Manager"/>
    <x v="0"/>
    <x v="1"/>
    <x v="0"/>
    <n v="20000000"/>
    <n v="3"/>
  </r>
  <r>
    <s v="HR0003"/>
    <s v="Adi Nugroho"/>
    <x v="0"/>
    <x v="2"/>
    <s v="Manager"/>
    <x v="1"/>
    <x v="1"/>
    <x v="0"/>
    <n v="20000000"/>
    <n v="4"/>
  </r>
  <r>
    <s v="HR0004"/>
    <s v="Aditya Pratama"/>
    <x v="0"/>
    <x v="3"/>
    <s v="Senior"/>
    <x v="1"/>
    <x v="0"/>
    <x v="1"/>
    <n v="15000000"/>
    <n v="3"/>
  </r>
  <r>
    <s v="HR0005"/>
    <s v="Agung Prasetyo"/>
    <x v="0"/>
    <x v="4"/>
    <s v="Manager"/>
    <x v="1"/>
    <x v="1"/>
    <x v="0"/>
    <n v="20000000"/>
    <n v="4"/>
  </r>
  <r>
    <s v="HR0006"/>
    <s v="Agus Santoso"/>
    <x v="0"/>
    <x v="2"/>
    <s v="Senior"/>
    <x v="1"/>
    <x v="1"/>
    <x v="1"/>
    <n v="15000000"/>
    <n v="3"/>
  </r>
  <r>
    <s v="HR0007"/>
    <s v="Ahmad Hidayat"/>
    <x v="0"/>
    <x v="1"/>
    <s v="Manager"/>
    <x v="1"/>
    <x v="0"/>
    <x v="0"/>
    <n v="20000000"/>
    <n v="5"/>
  </r>
  <r>
    <s v="HR0008"/>
    <s v="Ahmad Dahlan"/>
    <x v="0"/>
    <x v="4"/>
    <s v="Manager"/>
    <x v="0"/>
    <x v="0"/>
    <x v="0"/>
    <n v="20000000"/>
    <n v="3"/>
  </r>
  <r>
    <s v="HR0009"/>
    <s v="Airlangga Hartarto"/>
    <x v="0"/>
    <x v="2"/>
    <s v="Senior"/>
    <x v="1"/>
    <x v="1"/>
    <x v="1"/>
    <n v="15000000"/>
    <n v="4"/>
  </r>
  <r>
    <s v="HR00010"/>
    <s v="Akbar Tanjung"/>
    <x v="0"/>
    <x v="1"/>
    <s v="Staff"/>
    <x v="1"/>
    <x v="1"/>
    <x v="2"/>
    <n v="7000000"/>
    <n v="3"/>
  </r>
  <r>
    <s v="HR00011"/>
    <s v="Aldi Taher"/>
    <x v="0"/>
    <x v="4"/>
    <s v="Senior"/>
    <x v="1"/>
    <x v="0"/>
    <x v="1"/>
    <n v="15000000"/>
    <n v="5"/>
  </r>
  <r>
    <s v="HR00012"/>
    <s v="Ali Sadikin"/>
    <x v="0"/>
    <x v="3"/>
    <s v="Senior"/>
    <x v="0"/>
    <x v="1"/>
    <x v="1"/>
    <n v="15000000"/>
    <n v="3"/>
  </r>
  <r>
    <s v="HR00013"/>
    <s v="Alamsyah Ratu"/>
    <x v="0"/>
    <x v="1"/>
    <s v="Manager"/>
    <x v="0"/>
    <x v="1"/>
    <x v="0"/>
    <n v="20000000"/>
    <n v="3"/>
  </r>
  <r>
    <s v="HR00014"/>
    <s v="Amalia Lestari"/>
    <x v="1"/>
    <x v="1"/>
    <s v="Manager"/>
    <x v="0"/>
    <x v="1"/>
    <x v="0"/>
    <n v="20000000"/>
    <n v="3"/>
  </r>
  <r>
    <s v="HR00015"/>
    <s v="Amelia Putri"/>
    <x v="1"/>
    <x v="1"/>
    <s v="Manager"/>
    <x v="1"/>
    <x v="0"/>
    <x v="0"/>
    <n v="20000000"/>
    <n v="3"/>
  </r>
  <r>
    <s v="HR00016"/>
    <s v="Amin Rais"/>
    <x v="0"/>
    <x v="1"/>
    <s v="Staff"/>
    <x v="0"/>
    <x v="0"/>
    <x v="2"/>
    <n v="7000000"/>
    <n v="4"/>
  </r>
  <r>
    <s v="HR00017"/>
    <s v="Andhika Pratama"/>
    <x v="0"/>
    <x v="1"/>
    <s v="Senior"/>
    <x v="0"/>
    <x v="1"/>
    <x v="1"/>
    <n v="15000000"/>
    <n v="5"/>
  </r>
  <r>
    <s v="HR00018"/>
    <s v="Andi Wijaya"/>
    <x v="0"/>
    <x v="1"/>
    <s v="Senior"/>
    <x v="1"/>
    <x v="1"/>
    <x v="1"/>
    <n v="15000000"/>
    <n v="5"/>
  </r>
  <r>
    <s v="HR00019"/>
    <s v="Andika Perkasa"/>
    <x v="0"/>
    <x v="0"/>
    <s v="Staff"/>
    <x v="0"/>
    <x v="0"/>
    <x v="2"/>
    <n v="7000000"/>
    <n v="4"/>
  </r>
  <r>
    <s v="HR00020"/>
    <s v="Andreas Harsono"/>
    <x v="0"/>
    <x v="0"/>
    <s v="Manager"/>
    <x v="0"/>
    <x v="1"/>
    <x v="0"/>
    <n v="20000000"/>
    <n v="4"/>
  </r>
  <r>
    <s v="HR00021"/>
    <s v="Andre Taulany"/>
    <x v="0"/>
    <x v="2"/>
    <s v="Staff"/>
    <x v="0"/>
    <x v="0"/>
    <x v="2"/>
    <n v="7000000"/>
    <n v="3"/>
  </r>
  <r>
    <s v="HR00022"/>
    <s v="Angga Pratama"/>
    <x v="0"/>
    <x v="4"/>
    <s v="Manager"/>
    <x v="0"/>
    <x v="1"/>
    <x v="0"/>
    <n v="20000000"/>
    <n v="5"/>
  </r>
  <r>
    <s v="HR00023"/>
    <s v="Anggi Marito"/>
    <x v="1"/>
    <x v="4"/>
    <s v="Manager"/>
    <x v="1"/>
    <x v="0"/>
    <x v="0"/>
    <n v="20000000"/>
    <n v="3"/>
  </r>
  <r>
    <s v="HR00024"/>
    <s v="Anies Baswedan"/>
    <x v="0"/>
    <x v="4"/>
    <s v="Staff"/>
    <x v="1"/>
    <x v="1"/>
    <x v="2"/>
    <n v="7000000"/>
    <n v="3"/>
  </r>
  <r>
    <s v="HR00025"/>
    <s v="Anita Yuniar"/>
    <x v="1"/>
    <x v="3"/>
    <s v="Manager"/>
    <x v="0"/>
    <x v="1"/>
    <x v="0"/>
    <n v="20000000"/>
    <n v="5"/>
  </r>
  <r>
    <s v="HR00026"/>
    <s v="Annisa Pohan"/>
    <x v="1"/>
    <x v="3"/>
    <s v="Staff"/>
    <x v="0"/>
    <x v="0"/>
    <x v="2"/>
    <n v="7000000"/>
    <n v="4"/>
  </r>
  <r>
    <s v="HR00027"/>
    <s v="Anang Hermansyah"/>
    <x v="0"/>
    <x v="1"/>
    <s v="Staff"/>
    <x v="0"/>
    <x v="1"/>
    <x v="2"/>
    <n v="7000000"/>
    <n v="4"/>
  </r>
  <r>
    <s v="HR00028"/>
    <s v="Anto Hoed"/>
    <x v="0"/>
    <x v="2"/>
    <s v="Senior"/>
    <x v="0"/>
    <x v="0"/>
    <x v="1"/>
    <n v="15000000"/>
    <n v="5"/>
  </r>
  <r>
    <s v="HR00029"/>
    <s v="Anwar Ibrahim"/>
    <x v="0"/>
    <x v="3"/>
    <s v="Senior"/>
    <x v="0"/>
    <x v="1"/>
    <x v="1"/>
    <n v="15000000"/>
    <n v="4"/>
  </r>
  <r>
    <s v="HR00030"/>
    <s v="Ardi Bakrie"/>
    <x v="0"/>
    <x v="2"/>
    <s v="Staff"/>
    <x v="1"/>
    <x v="1"/>
    <x v="2"/>
    <n v="7000000"/>
    <n v="3"/>
  </r>
  <r>
    <s v="HR00031"/>
    <s v="Ari Lasso"/>
    <x v="0"/>
    <x v="3"/>
    <s v="Senior"/>
    <x v="1"/>
    <x v="0"/>
    <x v="1"/>
    <n v="15000000"/>
    <n v="5"/>
  </r>
  <r>
    <s v="HR00032"/>
    <s v="Arief Muhammad"/>
    <x v="0"/>
    <x v="3"/>
    <s v="Manager"/>
    <x v="0"/>
    <x v="1"/>
    <x v="0"/>
    <n v="20000000"/>
    <n v="4"/>
  </r>
  <r>
    <s v="HR00033"/>
    <s v="Aries Susanti"/>
    <x v="1"/>
    <x v="2"/>
    <s v="Senior"/>
    <x v="0"/>
    <x v="0"/>
    <x v="1"/>
    <n v="15000000"/>
    <n v="5"/>
  </r>
  <r>
    <s v="HR00034"/>
    <s v="Arifin Panigoro"/>
    <x v="0"/>
    <x v="3"/>
    <s v="Manager"/>
    <x v="1"/>
    <x v="0"/>
    <x v="0"/>
    <n v="20000000"/>
    <n v="5"/>
  </r>
  <r>
    <s v="HR00035"/>
    <s v="Arya Saloka"/>
    <x v="0"/>
    <x v="1"/>
    <s v="Manager"/>
    <x v="1"/>
    <x v="0"/>
    <x v="0"/>
    <n v="20000000"/>
    <n v="3"/>
  </r>
  <r>
    <s v="HR00036"/>
    <s v="Asri Welas"/>
    <x v="1"/>
    <x v="0"/>
    <s v="Manager"/>
    <x v="0"/>
    <x v="1"/>
    <x v="0"/>
    <n v="20000000"/>
    <n v="5"/>
  </r>
  <r>
    <s v="HR00037"/>
    <s v="Astri Ivo"/>
    <x v="1"/>
    <x v="4"/>
    <s v="Staff"/>
    <x v="0"/>
    <x v="1"/>
    <x v="2"/>
    <n v="7000000"/>
    <n v="5"/>
  </r>
  <r>
    <s v="HR00038"/>
    <s v="Atta Halilintar"/>
    <x v="0"/>
    <x v="1"/>
    <s v="Staff"/>
    <x v="1"/>
    <x v="0"/>
    <x v="2"/>
    <n v="7000000"/>
    <n v="4"/>
  </r>
  <r>
    <s v="HR00039"/>
    <s v="Aulia Rahman"/>
    <x v="0"/>
    <x v="4"/>
    <s v="Staff"/>
    <x v="1"/>
    <x v="0"/>
    <x v="2"/>
    <n v="7000000"/>
    <n v="5"/>
  </r>
  <r>
    <s v="HR00040"/>
    <s v="Azwar Anas"/>
    <x v="0"/>
    <x v="3"/>
    <s v="Senior"/>
    <x v="0"/>
    <x v="1"/>
    <x v="1"/>
    <n v="15000000"/>
    <n v="3"/>
  </r>
  <r>
    <s v="HR00041"/>
    <s v="Bambang Pamungkas"/>
    <x v="0"/>
    <x v="1"/>
    <s v="Staff"/>
    <x v="1"/>
    <x v="0"/>
    <x v="2"/>
    <n v="7000000"/>
    <n v="5"/>
  </r>
  <r>
    <s v="HR00042"/>
    <s v="Basuki Tjahaja"/>
    <x v="0"/>
    <x v="2"/>
    <s v="Staff"/>
    <x v="1"/>
    <x v="1"/>
    <x v="2"/>
    <n v="7000000"/>
    <n v="3"/>
  </r>
  <r>
    <s v="HR00043"/>
    <s v="Baim Wong"/>
    <x v="0"/>
    <x v="4"/>
    <s v="Senior"/>
    <x v="0"/>
    <x v="0"/>
    <x v="1"/>
    <n v="15000000"/>
    <n v="4"/>
  </r>
  <r>
    <s v="HR00044"/>
    <s v="Banyu Biru"/>
    <x v="0"/>
    <x v="4"/>
    <s v="Manager"/>
    <x v="0"/>
    <x v="1"/>
    <x v="0"/>
    <n v="20000000"/>
    <n v="4"/>
  </r>
  <r>
    <s v="HR00045"/>
    <s v="Beby Tsabina"/>
    <x v="1"/>
    <x v="3"/>
    <s v="Staff"/>
    <x v="0"/>
    <x v="0"/>
    <x v="2"/>
    <n v="7000000"/>
    <n v="3"/>
  </r>
  <r>
    <s v="HR00046"/>
    <s v="Benni Sitompul"/>
    <x v="0"/>
    <x v="1"/>
    <s v="Senior"/>
    <x v="0"/>
    <x v="0"/>
    <x v="1"/>
    <n v="15000000"/>
    <n v="5"/>
  </r>
  <r>
    <s v="HR00047"/>
    <s v="Benyamin Sueb"/>
    <x v="0"/>
    <x v="2"/>
    <s v="Senior"/>
    <x v="1"/>
    <x v="1"/>
    <x v="1"/>
    <n v="15000000"/>
    <n v="3"/>
  </r>
  <r>
    <s v="HR00048"/>
    <s v="Bimo Picky"/>
    <x v="0"/>
    <x v="4"/>
    <s v="Staff"/>
    <x v="1"/>
    <x v="0"/>
    <x v="2"/>
    <n v="7000000"/>
    <n v="4"/>
  </r>
  <r>
    <s v="HR00049"/>
    <s v="Bintoro"/>
    <x v="0"/>
    <x v="1"/>
    <s v="Senior"/>
    <x v="1"/>
    <x v="1"/>
    <x v="1"/>
    <n v="15000000"/>
    <n v="3"/>
  </r>
  <r>
    <s v="HR00050"/>
    <s v="Boma Santoso"/>
    <x v="0"/>
    <x v="2"/>
    <s v="Manager"/>
    <x v="0"/>
    <x v="1"/>
    <x v="0"/>
    <n v="20000000"/>
    <n v="5"/>
  </r>
  <r>
    <s v="HR00051"/>
    <s v="Boy William"/>
    <x v="0"/>
    <x v="2"/>
    <s v="Manager"/>
    <x v="1"/>
    <x v="0"/>
    <x v="0"/>
    <n v="20000000"/>
    <n v="4"/>
  </r>
  <r>
    <s v="HR00052"/>
    <s v="Budi Gunadi"/>
    <x v="0"/>
    <x v="4"/>
    <s v="Manager"/>
    <x v="0"/>
    <x v="1"/>
    <x v="0"/>
    <n v="20000000"/>
    <n v="3"/>
  </r>
  <r>
    <s v="HR00053"/>
    <s v="Bunga Citra"/>
    <x v="1"/>
    <x v="2"/>
    <s v="Manager"/>
    <x v="1"/>
    <x v="0"/>
    <x v="0"/>
    <n v="20000000"/>
    <n v="3"/>
  </r>
  <r>
    <s v="HR00054"/>
    <s v="Burhanuddin"/>
    <x v="0"/>
    <x v="0"/>
    <s v="Staff"/>
    <x v="1"/>
    <x v="1"/>
    <x v="2"/>
    <n v="7000000"/>
    <n v="3"/>
  </r>
  <r>
    <s v="HR00055"/>
    <s v="Caesar Hito"/>
    <x v="0"/>
    <x v="2"/>
    <s v="Staff"/>
    <x v="0"/>
    <x v="0"/>
    <x v="2"/>
    <n v="7000000"/>
    <n v="3"/>
  </r>
  <r>
    <s v="HR00056"/>
    <s v="Cantika Abigail"/>
    <x v="1"/>
    <x v="0"/>
    <s v="Staff"/>
    <x v="0"/>
    <x v="1"/>
    <x v="2"/>
    <n v="7000000"/>
    <n v="3"/>
  </r>
  <r>
    <s v="HR00057"/>
    <s v="Carissa Putri"/>
    <x v="1"/>
    <x v="0"/>
    <s v="Staff"/>
    <x v="1"/>
    <x v="1"/>
    <x v="2"/>
    <n v="7000000"/>
    <n v="5"/>
  </r>
  <r>
    <s v="HR00058"/>
    <s v="Chairul Tanjung"/>
    <x v="0"/>
    <x v="2"/>
    <s v="Staff"/>
    <x v="1"/>
    <x v="1"/>
    <x v="2"/>
    <n v="7000000"/>
    <n v="4"/>
  </r>
  <r>
    <s v="HR00059"/>
    <s v="Chelsea Olivia"/>
    <x v="1"/>
    <x v="2"/>
    <s v="Senior"/>
    <x v="0"/>
    <x v="0"/>
    <x v="1"/>
    <n v="15000000"/>
    <n v="5"/>
  </r>
  <r>
    <s v="HR00060"/>
    <s v="Chicco Jerikho"/>
    <x v="0"/>
    <x v="0"/>
    <s v="Senior"/>
    <x v="1"/>
    <x v="0"/>
    <x v="1"/>
    <n v="15000000"/>
    <n v="4"/>
  </r>
  <r>
    <s v="HR00061"/>
    <s v="Chintami Atmanagara"/>
    <x v="1"/>
    <x v="3"/>
    <s v="Manager"/>
    <x v="0"/>
    <x v="0"/>
    <x v="0"/>
    <n v="20000000"/>
    <n v="4"/>
  </r>
  <r>
    <s v="HR00062"/>
    <s v="Choky Sitohang"/>
    <x v="0"/>
    <x v="2"/>
    <s v="Staff"/>
    <x v="0"/>
    <x v="1"/>
    <x v="2"/>
    <n v="7000000"/>
    <n v="4"/>
  </r>
  <r>
    <s v="HR00063"/>
    <s v="Christian Sugiono"/>
    <x v="0"/>
    <x v="2"/>
    <s v="Senior"/>
    <x v="0"/>
    <x v="0"/>
    <x v="1"/>
    <n v="15000000"/>
    <n v="5"/>
  </r>
  <r>
    <s v="HR00064"/>
    <s v="Christine Hakim"/>
    <x v="1"/>
    <x v="0"/>
    <s v="Staff"/>
    <x v="0"/>
    <x v="0"/>
    <x v="2"/>
    <n v="7000000"/>
    <n v="3"/>
  </r>
  <r>
    <s v="HR00065"/>
    <s v="Cici Paramida"/>
    <x v="1"/>
    <x v="1"/>
    <s v="Senior"/>
    <x v="1"/>
    <x v="0"/>
    <x v="1"/>
    <n v="15000000"/>
    <n v="4"/>
  </r>
  <r>
    <s v="HR00066"/>
    <s v="Cinta Laura"/>
    <x v="1"/>
    <x v="1"/>
    <s v="Senior"/>
    <x v="0"/>
    <x v="0"/>
    <x v="1"/>
    <n v="15000000"/>
    <n v="4"/>
  </r>
  <r>
    <s v="HR00067"/>
    <s v="Citra Kirana"/>
    <x v="1"/>
    <x v="1"/>
    <s v="Staff"/>
    <x v="1"/>
    <x v="0"/>
    <x v="2"/>
    <n v="7000000"/>
    <n v="4"/>
  </r>
  <r>
    <s v="HR00068"/>
    <s v="Cut Keke"/>
    <x v="1"/>
    <x v="3"/>
    <s v="Senior"/>
    <x v="1"/>
    <x v="0"/>
    <x v="1"/>
    <n v="15000000"/>
    <n v="5"/>
  </r>
  <r>
    <s v="HR00069"/>
    <s v="Cut Mini"/>
    <x v="1"/>
    <x v="1"/>
    <s v="Manager"/>
    <x v="1"/>
    <x v="1"/>
    <x v="0"/>
    <n v="20000000"/>
    <n v="5"/>
  </r>
  <r>
    <s v="HR00070"/>
    <s v="Cut Tari"/>
    <x v="1"/>
    <x v="2"/>
    <s v="Staff"/>
    <x v="0"/>
    <x v="0"/>
    <x v="2"/>
    <n v="7000000"/>
    <n v="5"/>
  </r>
  <r>
    <s v="HR00071"/>
    <s v="Daffa Wardhana"/>
    <x v="0"/>
    <x v="4"/>
    <s v="Senior"/>
    <x v="0"/>
    <x v="1"/>
    <x v="1"/>
    <n v="15000000"/>
    <n v="4"/>
  </r>
  <r>
    <s v="HR00072"/>
    <s v="Dahlan Iskan"/>
    <x v="0"/>
    <x v="4"/>
    <s v="Senior"/>
    <x v="1"/>
    <x v="0"/>
    <x v="1"/>
    <n v="15000000"/>
    <n v="3"/>
  </r>
  <r>
    <s v="HR00073"/>
    <s v="Damar Wulan"/>
    <x v="0"/>
    <x v="1"/>
    <s v="Manager"/>
    <x v="1"/>
    <x v="1"/>
    <x v="0"/>
    <n v="20000000"/>
    <n v="3"/>
  </r>
  <r>
    <s v="HR00074"/>
    <s v="Damayanti"/>
    <x v="1"/>
    <x v="2"/>
    <s v="Senior"/>
    <x v="0"/>
    <x v="1"/>
    <x v="1"/>
    <n v="15000000"/>
    <n v="4"/>
  </r>
  <r>
    <s v="HR00075"/>
    <s v="Danang Sutawijaya"/>
    <x v="0"/>
    <x v="0"/>
    <s v="Manager"/>
    <x v="0"/>
    <x v="0"/>
    <x v="0"/>
    <n v="20000000"/>
    <n v="3"/>
  </r>
  <r>
    <s v="HR00076"/>
    <s v="Dani Aditya"/>
    <x v="0"/>
    <x v="4"/>
    <s v="Manager"/>
    <x v="1"/>
    <x v="1"/>
    <x v="0"/>
    <n v="20000000"/>
    <n v="4"/>
  </r>
  <r>
    <s v="HR00077"/>
    <s v="Daniel Mananta"/>
    <x v="0"/>
    <x v="3"/>
    <s v="Senior"/>
    <x v="1"/>
    <x v="0"/>
    <x v="1"/>
    <n v="15000000"/>
    <n v="5"/>
  </r>
  <r>
    <s v="HR00078"/>
    <s v="Danu Sukma"/>
    <x v="0"/>
    <x v="0"/>
    <s v="Senior"/>
    <x v="1"/>
    <x v="1"/>
    <x v="1"/>
    <n v="15000000"/>
    <n v="5"/>
  </r>
  <r>
    <s v="HR00079"/>
    <s v="Darto Helm"/>
    <x v="0"/>
    <x v="2"/>
    <s v="Manager"/>
    <x v="1"/>
    <x v="1"/>
    <x v="0"/>
    <n v="20000000"/>
    <n v="5"/>
  </r>
  <r>
    <s v="HR00080"/>
    <s v="Darwis Triadi"/>
    <x v="0"/>
    <x v="3"/>
    <s v="Manager"/>
    <x v="0"/>
    <x v="0"/>
    <x v="0"/>
    <n v="20000000"/>
    <n v="4"/>
  </r>
  <r>
    <s v="HR00081"/>
    <s v="Daus Mini"/>
    <x v="0"/>
    <x v="2"/>
    <s v="Manager"/>
    <x v="0"/>
    <x v="0"/>
    <x v="0"/>
    <n v="20000000"/>
    <n v="5"/>
  </r>
  <r>
    <s v="HR00082"/>
    <s v="David Chalik"/>
    <x v="0"/>
    <x v="3"/>
    <s v="Senior"/>
    <x v="0"/>
    <x v="1"/>
    <x v="1"/>
    <n v="15000000"/>
    <n v="3"/>
  </r>
  <r>
    <s v="HR00083"/>
    <s v="Deddy Mizwar"/>
    <x v="0"/>
    <x v="1"/>
    <s v="Manager"/>
    <x v="1"/>
    <x v="1"/>
    <x v="0"/>
    <n v="20000000"/>
    <n v="3"/>
  </r>
  <r>
    <s v="HR00084"/>
    <s v="Dede Yusuf"/>
    <x v="0"/>
    <x v="4"/>
    <s v="Senior"/>
    <x v="0"/>
    <x v="1"/>
    <x v="1"/>
    <n v="15000000"/>
    <n v="4"/>
  </r>
  <r>
    <s v="HR00085"/>
    <s v="Delon Thamrin"/>
    <x v="0"/>
    <x v="3"/>
    <s v="Manager"/>
    <x v="1"/>
    <x v="0"/>
    <x v="0"/>
    <n v="20000000"/>
    <n v="5"/>
  </r>
  <r>
    <s v="HR00086"/>
    <s v="Denada"/>
    <x v="1"/>
    <x v="1"/>
    <s v="Staff"/>
    <x v="1"/>
    <x v="1"/>
    <x v="2"/>
    <n v="7000000"/>
    <n v="4"/>
  </r>
  <r>
    <s v="HR00087"/>
    <s v="Denny Cagur"/>
    <x v="0"/>
    <x v="1"/>
    <s v="Staff"/>
    <x v="1"/>
    <x v="0"/>
    <x v="2"/>
    <n v="7000000"/>
    <n v="3"/>
  </r>
  <r>
    <s v="HR00088"/>
    <s v="Denny Sumargo"/>
    <x v="0"/>
    <x v="2"/>
    <s v="Manager"/>
    <x v="1"/>
    <x v="0"/>
    <x v="0"/>
    <n v="20000000"/>
    <n v="5"/>
  </r>
  <r>
    <s v="HR00089"/>
    <s v="Derby Romero"/>
    <x v="0"/>
    <x v="2"/>
    <s v="Staff"/>
    <x v="0"/>
    <x v="0"/>
    <x v="2"/>
    <n v="7000000"/>
    <n v="4"/>
  </r>
  <r>
    <s v="HR00090"/>
    <s v="Desy Ratnasari"/>
    <x v="1"/>
    <x v="2"/>
    <s v="Manager"/>
    <x v="0"/>
    <x v="0"/>
    <x v="0"/>
    <n v="20000000"/>
    <n v="5"/>
  </r>
  <r>
    <s v="HR00091"/>
    <s v="Dewi Perssik"/>
    <x v="1"/>
    <x v="3"/>
    <s v="Manager"/>
    <x v="1"/>
    <x v="0"/>
    <x v="0"/>
    <n v="20000000"/>
    <n v="3"/>
  </r>
  <r>
    <s v="HR00092"/>
    <s v="Dian Sastro"/>
    <x v="1"/>
    <x v="3"/>
    <s v="Senior"/>
    <x v="0"/>
    <x v="1"/>
    <x v="1"/>
    <n v="15000000"/>
    <n v="4"/>
  </r>
  <r>
    <s v="HR00093"/>
    <s v="Dicky Wahyudi"/>
    <x v="0"/>
    <x v="2"/>
    <s v="Manager"/>
    <x v="1"/>
    <x v="1"/>
    <x v="0"/>
    <n v="20000000"/>
    <n v="5"/>
  </r>
  <r>
    <s v="HR00094"/>
    <s v="Didik Nini Thowok"/>
    <x v="0"/>
    <x v="2"/>
    <s v="Manager"/>
    <x v="0"/>
    <x v="0"/>
    <x v="0"/>
    <n v="20000000"/>
    <n v="4"/>
  </r>
  <r>
    <s v="HR00095"/>
    <s v="Dimas Seto"/>
    <x v="0"/>
    <x v="1"/>
    <s v="Manager"/>
    <x v="1"/>
    <x v="0"/>
    <x v="0"/>
    <n v="20000000"/>
    <n v="4"/>
  </r>
  <r>
    <s v="HR00096"/>
    <s v="Dina Lorenza"/>
    <x v="1"/>
    <x v="1"/>
    <s v="Manager"/>
    <x v="1"/>
    <x v="0"/>
    <x v="0"/>
    <n v="20000000"/>
    <n v="4"/>
  </r>
  <r>
    <s v="HR00097"/>
    <s v="Dinda Kanya"/>
    <x v="1"/>
    <x v="4"/>
    <s v="Manager"/>
    <x v="1"/>
    <x v="0"/>
    <x v="0"/>
    <n v="20000000"/>
    <n v="5"/>
  </r>
  <r>
    <s v="HR00098"/>
    <s v="Dini Lestari"/>
    <x v="1"/>
    <x v="0"/>
    <s v="Senior"/>
    <x v="0"/>
    <x v="1"/>
    <x v="1"/>
    <n v="15000000"/>
    <n v="4"/>
  </r>
  <r>
    <s v="HR00099"/>
    <s v="Dita Fakhrana"/>
    <x v="1"/>
    <x v="3"/>
    <s v="Staff"/>
    <x v="1"/>
    <x v="1"/>
    <x v="2"/>
    <n v="7000000"/>
    <n v="3"/>
  </r>
  <r>
    <s v="HR000100"/>
    <s v="Donita"/>
    <x v="1"/>
    <x v="1"/>
    <s v="Staff"/>
    <x v="0"/>
    <x v="0"/>
    <x v="2"/>
    <n v="7000000"/>
    <n v="5"/>
  </r>
  <r>
    <s v="HR000101"/>
    <s v="Danang Wijaya"/>
    <x v="0"/>
    <x v="2"/>
    <s v="Manager"/>
    <x v="0"/>
    <x v="1"/>
    <x v="0"/>
    <n v="20000000"/>
    <n v="4"/>
  </r>
  <r>
    <s v="HR000102"/>
    <s v="Dani Setiawan"/>
    <x v="0"/>
    <x v="0"/>
    <s v="Manager"/>
    <x v="1"/>
    <x v="0"/>
    <x v="0"/>
    <n v="20000000"/>
    <n v="5"/>
  </r>
  <r>
    <s v="HR000103"/>
    <s v="Danu Pratama"/>
    <x v="0"/>
    <x v="4"/>
    <s v="Staff"/>
    <x v="0"/>
    <x v="0"/>
    <x v="2"/>
    <n v="7000000"/>
    <n v="4"/>
  </r>
  <r>
    <s v="HR000104"/>
    <s v="Dedi Darmawan"/>
    <x v="0"/>
    <x v="2"/>
    <s v="Manager"/>
    <x v="1"/>
    <x v="1"/>
    <x v="0"/>
    <n v="20000000"/>
    <n v="3"/>
  </r>
  <r>
    <s v="HR000105"/>
    <s v="Deddy Corbuzier"/>
    <x v="0"/>
    <x v="4"/>
    <s v="Senior"/>
    <x v="1"/>
    <x v="0"/>
    <x v="1"/>
    <n v="15000000"/>
    <n v="4"/>
  </r>
  <r>
    <s v="HR000106"/>
    <s v="Dedy Mulyadi"/>
    <x v="0"/>
    <x v="3"/>
    <s v="Senior"/>
    <x v="1"/>
    <x v="0"/>
    <x v="1"/>
    <n v="15000000"/>
    <n v="4"/>
  </r>
  <r>
    <s v="HR000107"/>
    <s v="Deni Ramadhan"/>
    <x v="0"/>
    <x v="0"/>
    <s v="Manager"/>
    <x v="1"/>
    <x v="1"/>
    <x v="0"/>
    <n v="20000000"/>
    <n v="3"/>
  </r>
  <r>
    <s v="HR000108"/>
    <s v="Denis Setiawan"/>
    <x v="0"/>
    <x v="4"/>
    <s v="Senior"/>
    <x v="0"/>
    <x v="0"/>
    <x v="1"/>
    <n v="15000000"/>
    <n v="4"/>
  </r>
  <r>
    <s v="HR000109"/>
    <s v="Denny Siregar"/>
    <x v="0"/>
    <x v="3"/>
    <s v="Staff"/>
    <x v="1"/>
    <x v="0"/>
    <x v="2"/>
    <n v="7000000"/>
    <n v="5"/>
  </r>
  <r>
    <s v="HR000110"/>
    <s v="Desta Mahendra"/>
    <x v="0"/>
    <x v="4"/>
    <s v="Senior"/>
    <x v="0"/>
    <x v="1"/>
    <x v="1"/>
    <n v="15000000"/>
    <n v="5"/>
  </r>
  <r>
    <s v="HR000111"/>
    <s v="Devi Permata"/>
    <x v="1"/>
    <x v="3"/>
    <s v="Senior"/>
    <x v="1"/>
    <x v="1"/>
    <x v="1"/>
    <n v="15000000"/>
    <n v="3"/>
  </r>
  <r>
    <s v="HR000112"/>
    <s v="Dewi Lestari"/>
    <x v="1"/>
    <x v="1"/>
    <s v="Staff"/>
    <x v="0"/>
    <x v="1"/>
    <x v="2"/>
    <n v="7000000"/>
    <n v="3"/>
  </r>
  <r>
    <s v="HR000113"/>
    <s v="Dewi Sartika"/>
    <x v="1"/>
    <x v="4"/>
    <s v="Staff"/>
    <x v="0"/>
    <x v="0"/>
    <x v="2"/>
    <n v="7000000"/>
    <n v="5"/>
  </r>
  <r>
    <s v="HR000114"/>
    <s v="Diah Permata"/>
    <x v="1"/>
    <x v="4"/>
    <s v="Manager"/>
    <x v="1"/>
    <x v="0"/>
    <x v="0"/>
    <n v="20000000"/>
    <n v="5"/>
  </r>
  <r>
    <s v="HR000115"/>
    <s v="Dian Sastrowardoyo"/>
    <x v="1"/>
    <x v="4"/>
    <s v="Senior"/>
    <x v="1"/>
    <x v="0"/>
    <x v="1"/>
    <n v="15000000"/>
    <n v="3"/>
  </r>
  <r>
    <s v="HR000116"/>
    <s v="Diana Puspita"/>
    <x v="1"/>
    <x v="4"/>
    <s v="Staff"/>
    <x v="0"/>
    <x v="0"/>
    <x v="2"/>
    <n v="7000000"/>
    <n v="3"/>
  </r>
  <r>
    <s v="HR000117"/>
    <s v="Dicky Chandra"/>
    <x v="0"/>
    <x v="1"/>
    <s v="Staff"/>
    <x v="1"/>
    <x v="1"/>
    <x v="2"/>
    <n v="7000000"/>
    <n v="5"/>
  </r>
  <r>
    <s v="HR000118"/>
    <s v="Didi Kempot"/>
    <x v="0"/>
    <x v="2"/>
    <s v="Staff"/>
    <x v="0"/>
    <x v="1"/>
    <x v="2"/>
    <n v="7000000"/>
    <n v="4"/>
  </r>
  <r>
    <s v="HR000119"/>
    <s v="Dimas Anggara"/>
    <x v="0"/>
    <x v="0"/>
    <s v="Staff"/>
    <x v="0"/>
    <x v="1"/>
    <x v="2"/>
    <n v="7000000"/>
    <n v="5"/>
  </r>
  <r>
    <s v="HR000120"/>
    <s v="Dina Mariana"/>
    <x v="1"/>
    <x v="3"/>
    <s v="Senior"/>
    <x v="0"/>
    <x v="0"/>
    <x v="1"/>
    <n v="15000000"/>
    <n v="4"/>
  </r>
  <r>
    <s v="HR000121"/>
    <s v="Dinda Hauw"/>
    <x v="1"/>
    <x v="0"/>
    <s v="Staff"/>
    <x v="0"/>
    <x v="0"/>
    <x v="2"/>
    <n v="7000000"/>
    <n v="3"/>
  </r>
  <r>
    <s v="HR000122"/>
    <s v="Dini Aminarti"/>
    <x v="1"/>
    <x v="4"/>
    <s v="Senior"/>
    <x v="0"/>
    <x v="1"/>
    <x v="1"/>
    <n v="15000000"/>
    <n v="3"/>
  </r>
  <r>
    <s v="HR000123"/>
    <s v="Dino Patti"/>
    <x v="0"/>
    <x v="2"/>
    <s v="Manager"/>
    <x v="0"/>
    <x v="1"/>
    <x v="0"/>
    <n v="20000000"/>
    <n v="5"/>
  </r>
  <r>
    <s v="HR000124"/>
    <s v="Dita Karang"/>
    <x v="1"/>
    <x v="4"/>
    <s v="Manager"/>
    <x v="1"/>
    <x v="1"/>
    <x v="0"/>
    <n v="20000000"/>
    <n v="5"/>
  </r>
  <r>
    <s v="HR000125"/>
    <s v="Doddy Sudrajat"/>
    <x v="1"/>
    <x v="0"/>
    <s v="Staff"/>
    <x v="1"/>
    <x v="1"/>
    <x v="2"/>
    <n v="7000000"/>
    <n v="5"/>
  </r>
  <r>
    <s v="HR000126"/>
    <s v="Doni Monardo"/>
    <x v="0"/>
    <x v="4"/>
    <s v="Staff"/>
    <x v="1"/>
    <x v="0"/>
    <x v="2"/>
    <n v="7000000"/>
    <n v="3"/>
  </r>
  <r>
    <s v="HR000127"/>
    <s v="Donny Damara"/>
    <x v="0"/>
    <x v="4"/>
    <s v="Senior"/>
    <x v="0"/>
    <x v="0"/>
    <x v="1"/>
    <n v="15000000"/>
    <n v="5"/>
  </r>
  <r>
    <s v="HR000128"/>
    <s v="Dwi Andhika"/>
    <x v="0"/>
    <x v="1"/>
    <s v="Staff"/>
    <x v="1"/>
    <x v="1"/>
    <x v="2"/>
    <n v="7000000"/>
    <n v="3"/>
  </r>
  <r>
    <s v="HR000129"/>
    <s v="Dwi Ariyanti"/>
    <x v="1"/>
    <x v="3"/>
    <s v="Manager"/>
    <x v="0"/>
    <x v="0"/>
    <x v="0"/>
    <n v="20000000"/>
    <n v="4"/>
  </r>
  <r>
    <s v="HR000130"/>
    <s v="Eka Ramdani"/>
    <x v="1"/>
    <x v="0"/>
    <s v="Staff"/>
    <x v="1"/>
    <x v="0"/>
    <x v="2"/>
    <n v="7000000"/>
    <n v="3"/>
  </r>
  <r>
    <s v="HR000131"/>
    <s v="Eko Patrio"/>
    <x v="1"/>
    <x v="1"/>
    <s v="Senior"/>
    <x v="1"/>
    <x v="0"/>
    <x v="1"/>
    <n v="15000000"/>
    <n v="4"/>
  </r>
  <r>
    <s v="HR000132"/>
    <s v="Elvy Sukaesih"/>
    <x v="0"/>
    <x v="3"/>
    <s v="Senior"/>
    <x v="0"/>
    <x v="0"/>
    <x v="1"/>
    <n v="15000000"/>
    <n v="3"/>
  </r>
  <r>
    <s v="HR000133"/>
    <s v="Ely Sugigi"/>
    <x v="1"/>
    <x v="1"/>
    <s v="Manager"/>
    <x v="1"/>
    <x v="1"/>
    <x v="0"/>
    <n v="20000000"/>
    <n v="5"/>
  </r>
  <r>
    <s v="HR000134"/>
    <s v="Emil Dardak"/>
    <x v="1"/>
    <x v="3"/>
    <s v="Staff"/>
    <x v="0"/>
    <x v="0"/>
    <x v="2"/>
    <n v="7000000"/>
    <n v="4"/>
  </r>
  <r>
    <s v="HR000135"/>
    <s v="Endah N Rhesa"/>
    <x v="0"/>
    <x v="4"/>
    <s v="Manager"/>
    <x v="1"/>
    <x v="1"/>
    <x v="0"/>
    <n v="20000000"/>
    <n v="5"/>
  </r>
  <r>
    <s v="HR000136"/>
    <s v="Endang S. Taurina"/>
    <x v="1"/>
    <x v="1"/>
    <s v="Manager"/>
    <x v="1"/>
    <x v="1"/>
    <x v="0"/>
    <n v="20000000"/>
    <n v="4"/>
  </r>
  <r>
    <s v="HR000137"/>
    <s v="Enny Beatrice"/>
    <x v="1"/>
    <x v="1"/>
    <s v="Staff"/>
    <x v="0"/>
    <x v="1"/>
    <x v="2"/>
    <n v="7000000"/>
    <n v="5"/>
  </r>
  <r>
    <s v="HR000138"/>
    <s v="Erick Thohir"/>
    <x v="1"/>
    <x v="1"/>
    <s v="Senior"/>
    <x v="0"/>
    <x v="1"/>
    <x v="1"/>
    <n v="15000000"/>
    <n v="5"/>
  </r>
  <r>
    <s v="HR000139"/>
    <s v="Erna Santoso"/>
    <x v="0"/>
    <x v="3"/>
    <s v="Manager"/>
    <x v="1"/>
    <x v="0"/>
    <x v="0"/>
    <n v="20000000"/>
    <n v="4"/>
  </r>
  <r>
    <s v="HR000140"/>
    <s v="Erni Yuningsih"/>
    <x v="1"/>
    <x v="0"/>
    <s v="Manager"/>
    <x v="0"/>
    <x v="1"/>
    <x v="0"/>
    <n v="20000000"/>
    <n v="5"/>
  </r>
  <r>
    <s v="HR000141"/>
    <s v="Eros Djarot"/>
    <x v="1"/>
    <x v="4"/>
    <s v="Manager"/>
    <x v="1"/>
    <x v="1"/>
    <x v="0"/>
    <n v="20000000"/>
    <n v="4"/>
  </r>
  <r>
    <s v="HR000142"/>
    <s v="Ervan Santos"/>
    <x v="0"/>
    <x v="0"/>
    <s v="Senior"/>
    <x v="0"/>
    <x v="1"/>
    <x v="1"/>
    <n v="15000000"/>
    <n v="3"/>
  </r>
  <r>
    <s v="HR000143"/>
    <s v="Erwin Gutawa"/>
    <x v="0"/>
    <x v="1"/>
    <s v="Senior"/>
    <x v="1"/>
    <x v="0"/>
    <x v="1"/>
    <n v="15000000"/>
    <n v="3"/>
  </r>
  <r>
    <s v="HR000144"/>
    <s v="Evi Tamala"/>
    <x v="0"/>
    <x v="1"/>
    <s v="Senior"/>
    <x v="1"/>
    <x v="1"/>
    <x v="1"/>
    <n v="15000000"/>
    <n v="3"/>
  </r>
  <r>
    <s v="HR000145"/>
    <s v="Fachri Albar"/>
    <x v="1"/>
    <x v="1"/>
    <s v="Staff"/>
    <x v="1"/>
    <x v="1"/>
    <x v="2"/>
    <n v="7000000"/>
    <n v="4"/>
  </r>
  <r>
    <s v="HR000146"/>
    <s v="Fadhil Muhammad"/>
    <x v="0"/>
    <x v="3"/>
    <s v="Manager"/>
    <x v="0"/>
    <x v="0"/>
    <x v="0"/>
    <n v="20000000"/>
    <n v="5"/>
  </r>
  <r>
    <s v="HR000147"/>
    <s v="Fadi Alaydrus"/>
    <x v="0"/>
    <x v="3"/>
    <s v="Manager"/>
    <x v="0"/>
    <x v="1"/>
    <x v="0"/>
    <n v="20000000"/>
    <n v="4"/>
  </r>
  <r>
    <s v="HR000148"/>
    <s v="Fadli Zon"/>
    <x v="0"/>
    <x v="3"/>
    <s v="Manager"/>
    <x v="1"/>
    <x v="1"/>
    <x v="0"/>
    <n v="20000000"/>
    <n v="3"/>
  </r>
  <r>
    <s v="HR000149"/>
    <s v="Fahri Hamzah"/>
    <x v="0"/>
    <x v="1"/>
    <s v="Senior"/>
    <x v="1"/>
    <x v="0"/>
    <x v="1"/>
    <n v="15000000"/>
    <n v="5"/>
  </r>
  <r>
    <s v="HR000150"/>
    <s v="Fajar Sadboy"/>
    <x v="0"/>
    <x v="1"/>
    <s v="Staff"/>
    <x v="1"/>
    <x v="0"/>
    <x v="2"/>
    <n v="7000000"/>
    <n v="4"/>
  </r>
  <r>
    <s v="HR000151"/>
    <s v="Fakhri Husaini"/>
    <x v="0"/>
    <x v="3"/>
    <s v="Staff"/>
    <x v="1"/>
    <x v="1"/>
    <x v="2"/>
    <n v="7000000"/>
    <n v="5"/>
  </r>
  <r>
    <s v="HR000152"/>
    <s v="Fani Puspita"/>
    <x v="0"/>
    <x v="3"/>
    <s v="Senior"/>
    <x v="0"/>
    <x v="1"/>
    <x v="1"/>
    <n v="15000000"/>
    <n v="3"/>
  </r>
  <r>
    <s v="HR000153"/>
    <s v="Farid Hardja"/>
    <x v="1"/>
    <x v="2"/>
    <s v="Senior"/>
    <x v="0"/>
    <x v="1"/>
    <x v="1"/>
    <n v="15000000"/>
    <n v="4"/>
  </r>
  <r>
    <s v="HR000154"/>
    <s v="Farhat Abbas"/>
    <x v="0"/>
    <x v="1"/>
    <s v="Staff"/>
    <x v="1"/>
    <x v="1"/>
    <x v="2"/>
    <n v="7000000"/>
    <n v="4"/>
  </r>
  <r>
    <s v="HR000155"/>
    <s v="Farida Pasha"/>
    <x v="0"/>
    <x v="0"/>
    <s v="Senior"/>
    <x v="0"/>
    <x v="1"/>
    <x v="1"/>
    <n v="15000000"/>
    <n v="3"/>
  </r>
  <r>
    <s v="HR000156"/>
    <s v="Fathir Muchtar"/>
    <x v="1"/>
    <x v="2"/>
    <s v="Senior"/>
    <x v="1"/>
    <x v="0"/>
    <x v="1"/>
    <n v="15000000"/>
    <n v="4"/>
  </r>
  <r>
    <s v="HR000157"/>
    <s v="Fatmawati"/>
    <x v="0"/>
    <x v="0"/>
    <s v="Senior"/>
    <x v="0"/>
    <x v="1"/>
    <x v="1"/>
    <n v="15000000"/>
    <n v="3"/>
  </r>
  <r>
    <s v="HR000158"/>
    <s v="Fauzi Bowo"/>
    <x v="1"/>
    <x v="1"/>
    <s v="Senior"/>
    <x v="1"/>
    <x v="0"/>
    <x v="1"/>
    <n v="15000000"/>
    <n v="5"/>
  </r>
  <r>
    <s v="HR000159"/>
    <s v="Febby Rastanty"/>
    <x v="0"/>
    <x v="2"/>
    <s v="Staff"/>
    <x v="0"/>
    <x v="0"/>
    <x v="2"/>
    <n v="7000000"/>
    <n v="4"/>
  </r>
  <r>
    <s v="HR000160"/>
    <s v="Fero Walandouw"/>
    <x v="1"/>
    <x v="3"/>
    <s v="Manager"/>
    <x v="0"/>
    <x v="1"/>
    <x v="0"/>
    <n v="20000000"/>
    <n v="3"/>
  </r>
  <r>
    <s v="HR000161"/>
    <s v="Ferry Irawan"/>
    <x v="1"/>
    <x v="1"/>
    <s v="Manager"/>
    <x v="0"/>
    <x v="1"/>
    <x v="0"/>
    <n v="20000000"/>
    <n v="3"/>
  </r>
  <r>
    <s v="HR000162"/>
    <s v="Fiersa Besari"/>
    <x v="1"/>
    <x v="4"/>
    <s v="Staff"/>
    <x v="0"/>
    <x v="1"/>
    <x v="2"/>
    <n v="7000000"/>
    <n v="3"/>
  </r>
  <r>
    <s v="HR000163"/>
    <s v="Fikri Haikal"/>
    <x v="1"/>
    <x v="1"/>
    <s v="Manager"/>
    <x v="0"/>
    <x v="1"/>
    <x v="0"/>
    <n v="20000000"/>
    <n v="3"/>
  </r>
  <r>
    <s v="HR000164"/>
    <s v="Fina Lestari"/>
    <x v="0"/>
    <x v="0"/>
    <s v="Senior"/>
    <x v="0"/>
    <x v="0"/>
    <x v="1"/>
    <n v="15000000"/>
    <n v="3"/>
  </r>
  <r>
    <s v="HR000165"/>
    <s v="Fitri Carlina"/>
    <x v="0"/>
    <x v="0"/>
    <s v="Manager"/>
    <x v="0"/>
    <x v="0"/>
    <x v="0"/>
    <n v="20000000"/>
    <n v="3"/>
  </r>
  <r>
    <s v="HR000166"/>
    <s v="Fitria Yusuf"/>
    <x v="1"/>
    <x v="3"/>
    <s v="Manager"/>
    <x v="1"/>
    <x v="0"/>
    <x v="0"/>
    <n v="20000000"/>
    <n v="3"/>
  </r>
  <r>
    <s v="HR000167"/>
    <s v="Fuad Hassan"/>
    <x v="0"/>
    <x v="0"/>
    <s v="Staff"/>
    <x v="0"/>
    <x v="1"/>
    <x v="2"/>
    <n v="7000000"/>
    <n v="3"/>
  </r>
  <r>
    <s v="HR000168"/>
    <s v="Gading Marten"/>
    <x v="0"/>
    <x v="2"/>
    <s v="Senior"/>
    <x v="0"/>
    <x v="1"/>
    <x v="1"/>
    <n v="15000000"/>
    <n v="5"/>
  </r>
  <r>
    <s v="HR000169"/>
    <s v="Galih Ginanjar"/>
    <x v="0"/>
    <x v="0"/>
    <s v="Manager"/>
    <x v="0"/>
    <x v="1"/>
    <x v="0"/>
    <n v="20000000"/>
    <n v="5"/>
  </r>
  <r>
    <s v="HR000170"/>
    <s v="Gamaliel"/>
    <x v="0"/>
    <x v="0"/>
    <s v="Senior"/>
    <x v="0"/>
    <x v="0"/>
    <x v="1"/>
    <n v="15000000"/>
    <n v="5"/>
  </r>
  <r>
    <s v="HR000171"/>
    <s v="Ganjar Pranowo"/>
    <x v="0"/>
    <x v="0"/>
    <s v="Manager"/>
    <x v="0"/>
    <x v="0"/>
    <x v="0"/>
    <n v="20000000"/>
    <n v="4"/>
  </r>
  <r>
    <s v="HR000172"/>
    <s v="Ganti Winarno"/>
    <x v="0"/>
    <x v="0"/>
    <s v="Manager"/>
    <x v="1"/>
    <x v="0"/>
    <x v="0"/>
    <n v="20000000"/>
    <n v="3"/>
  </r>
  <r>
    <s v="HR000173"/>
    <s v="Gari Sukma"/>
    <x v="0"/>
    <x v="2"/>
    <s v="Manager"/>
    <x v="0"/>
    <x v="1"/>
    <x v="0"/>
    <n v="20000000"/>
    <n v="5"/>
  </r>
  <r>
    <s v="HR000174"/>
    <s v="Gathan Saleh"/>
    <x v="1"/>
    <x v="2"/>
    <s v="Senior"/>
    <x v="1"/>
    <x v="0"/>
    <x v="1"/>
    <n v="15000000"/>
    <n v="3"/>
  </r>
  <r>
    <s v="HR000175"/>
    <s v="Gede Pasek"/>
    <x v="0"/>
    <x v="0"/>
    <s v="Staff"/>
    <x v="1"/>
    <x v="1"/>
    <x v="2"/>
    <n v="7000000"/>
    <n v="3"/>
  </r>
  <r>
    <s v="HR000176"/>
    <s v="Geri Santos"/>
    <x v="0"/>
    <x v="2"/>
    <s v="Senior"/>
    <x v="1"/>
    <x v="1"/>
    <x v="1"/>
    <n v="15000000"/>
    <n v="3"/>
  </r>
  <r>
    <s v="HR000177"/>
    <s v="Ghaida Farisya"/>
    <x v="1"/>
    <x v="0"/>
    <s v="Senior"/>
    <x v="0"/>
    <x v="0"/>
    <x v="1"/>
    <n v="15000000"/>
    <n v="5"/>
  </r>
  <r>
    <s v="HR000178"/>
    <s v="Gibran Rakabuming"/>
    <x v="1"/>
    <x v="2"/>
    <s v="Senior"/>
    <x v="1"/>
    <x v="0"/>
    <x v="1"/>
    <n v="15000000"/>
    <n v="4"/>
  </r>
  <r>
    <s v="HR000179"/>
    <s v="Gideon Tengker"/>
    <x v="0"/>
    <x v="4"/>
    <s v="Senior"/>
    <x v="0"/>
    <x v="1"/>
    <x v="1"/>
    <n v="15000000"/>
    <n v="4"/>
  </r>
  <r>
    <s v="HR000180"/>
    <s v="Gilbert Lumoindong"/>
    <x v="0"/>
    <x v="3"/>
    <s v="Senior"/>
    <x v="0"/>
    <x v="0"/>
    <x v="1"/>
    <n v="15000000"/>
    <n v="3"/>
  </r>
  <r>
    <s v="HR000181"/>
    <s v="Gita Gutawa"/>
    <x v="1"/>
    <x v="0"/>
    <s v="Staff"/>
    <x v="1"/>
    <x v="1"/>
    <x v="2"/>
    <n v="7000000"/>
    <n v="3"/>
  </r>
  <r>
    <s v="HR000182"/>
    <s v="Glenn Fredly"/>
    <x v="0"/>
    <x v="3"/>
    <s v="Staff"/>
    <x v="1"/>
    <x v="0"/>
    <x v="2"/>
    <n v="7000000"/>
    <n v="5"/>
  </r>
  <r>
    <s v="HR000183"/>
    <s v="Gogon Srimulat"/>
    <x v="0"/>
    <x v="1"/>
    <s v="Senior"/>
    <x v="1"/>
    <x v="0"/>
    <x v="1"/>
    <n v="15000000"/>
    <n v="3"/>
  </r>
  <r>
    <s v="HR000184"/>
    <s v="Grace Natalie"/>
    <x v="0"/>
    <x v="2"/>
    <s v="Manager"/>
    <x v="0"/>
    <x v="0"/>
    <x v="0"/>
    <n v="20000000"/>
    <n v="5"/>
  </r>
  <r>
    <s v="HR000185"/>
    <s v="Greysia Polii"/>
    <x v="0"/>
    <x v="0"/>
    <s v="Senior"/>
    <x v="0"/>
    <x v="1"/>
    <x v="1"/>
    <n v="15000000"/>
    <n v="3"/>
  </r>
  <r>
    <s v="HR000186"/>
    <s v="Guntur Soekarno"/>
    <x v="0"/>
    <x v="2"/>
    <s v="Staff"/>
    <x v="1"/>
    <x v="1"/>
    <x v="2"/>
    <n v="7000000"/>
    <n v="3"/>
  </r>
  <r>
    <s v="HR000187"/>
    <s v="Gusi Santoso"/>
    <x v="0"/>
    <x v="2"/>
    <s v="Senior"/>
    <x v="1"/>
    <x v="0"/>
    <x v="1"/>
    <n v="15000000"/>
    <n v="5"/>
  </r>
  <r>
    <s v="HR000188"/>
    <s v="Habibie B.J."/>
    <x v="0"/>
    <x v="4"/>
    <s v="Staff"/>
    <x v="1"/>
    <x v="1"/>
    <x v="2"/>
    <n v="7000000"/>
    <n v="4"/>
  </r>
  <r>
    <s v="HR000189"/>
    <s v="Habil Marati"/>
    <x v="1"/>
    <x v="4"/>
    <s v="Staff"/>
    <x v="0"/>
    <x v="0"/>
    <x v="2"/>
    <n v="7000000"/>
    <n v="4"/>
  </r>
  <r>
    <s v="HR000190"/>
    <s v="Hadyanto"/>
    <x v="0"/>
    <x v="2"/>
    <s v="Staff"/>
    <x v="0"/>
    <x v="0"/>
    <x v="2"/>
    <n v="7000000"/>
    <n v="4"/>
  </r>
  <r>
    <s v="HR000191"/>
    <s v="Hafizuddin"/>
    <x v="0"/>
    <x v="4"/>
    <s v="Senior"/>
    <x v="1"/>
    <x v="1"/>
    <x v="1"/>
    <n v="15000000"/>
    <n v="5"/>
  </r>
  <r>
    <s v="HR000192"/>
    <s v="Haliem Santos"/>
    <x v="0"/>
    <x v="0"/>
    <s v="Manager"/>
    <x v="0"/>
    <x v="1"/>
    <x v="0"/>
    <n v="20000000"/>
    <n v="3"/>
  </r>
  <r>
    <s v="HR000193"/>
    <s v="Hamdan Zoelva"/>
    <x v="0"/>
    <x v="0"/>
    <s v="Manager"/>
    <x v="1"/>
    <x v="0"/>
    <x v="0"/>
    <n v="20000000"/>
    <n v="4"/>
  </r>
  <r>
    <s v="HR000194"/>
    <s v="Hamish Daud"/>
    <x v="0"/>
    <x v="1"/>
    <s v="Senior"/>
    <x v="0"/>
    <x v="0"/>
    <x v="1"/>
    <n v="15000000"/>
    <n v="4"/>
  </r>
  <r>
    <s v="HR000195"/>
    <s v="Hamka Hamzah"/>
    <x v="0"/>
    <x v="2"/>
    <s v="Manager"/>
    <x v="1"/>
    <x v="0"/>
    <x v="0"/>
    <n v="20000000"/>
    <n v="3"/>
  </r>
  <r>
    <s v="HR000196"/>
    <s v="Hana Saraswati"/>
    <x v="0"/>
    <x v="3"/>
    <s v="Staff"/>
    <x v="0"/>
    <x v="0"/>
    <x v="2"/>
    <n v="7000000"/>
    <n v="5"/>
  </r>
  <r>
    <s v="HR000197"/>
    <s v="Hani Puspita"/>
    <x v="0"/>
    <x v="0"/>
    <s v="Staff"/>
    <x v="1"/>
    <x v="1"/>
    <x v="2"/>
    <n v="7000000"/>
    <n v="5"/>
  </r>
  <r>
    <s v="HR000198"/>
    <s v="Hardianto"/>
    <x v="0"/>
    <x v="2"/>
    <s v="Staff"/>
    <x v="0"/>
    <x v="1"/>
    <x v="2"/>
    <n v="7000000"/>
    <n v="3"/>
  </r>
  <r>
    <s v="HR000199"/>
    <s v="Haris Azhar"/>
    <x v="0"/>
    <x v="2"/>
    <s v="Manager"/>
    <x v="0"/>
    <x v="1"/>
    <x v="0"/>
    <n v="20000000"/>
    <n v="3"/>
  </r>
  <r>
    <s v="HR000200"/>
    <s v="Harry Tanoe"/>
    <x v="1"/>
    <x v="0"/>
    <s v="Senior"/>
    <x v="1"/>
    <x v="1"/>
    <x v="1"/>
    <n v="15000000"/>
    <n v="5"/>
  </r>
  <r>
    <s v="HR000201"/>
    <s v="Hendra Lesmana"/>
    <x v="1"/>
    <x v="0"/>
    <s v="Senior"/>
    <x v="1"/>
    <x v="1"/>
    <x v="1"/>
    <n v="15000000"/>
    <n v="5"/>
  </r>
  <r>
    <s v="HR000202"/>
    <s v="Hendri Irawan"/>
    <x v="0"/>
    <x v="2"/>
    <s v="Manager"/>
    <x v="1"/>
    <x v="0"/>
    <x v="0"/>
    <n v="20000000"/>
    <n v="5"/>
  </r>
  <r>
    <s v="HR000203"/>
    <s v="Heri Susanto"/>
    <x v="0"/>
    <x v="4"/>
    <s v="Staff"/>
    <x v="1"/>
    <x v="1"/>
    <x v="2"/>
    <n v="7000000"/>
    <n v="4"/>
  </r>
  <r>
    <s v="HR000204"/>
    <s v="Heru Wibowo"/>
    <x v="1"/>
    <x v="4"/>
    <s v="Senior"/>
    <x v="0"/>
    <x v="1"/>
    <x v="1"/>
    <n v="15000000"/>
    <n v="4"/>
  </r>
  <r>
    <s v="HR000205"/>
    <s v="Hdayat Nur"/>
    <x v="1"/>
    <x v="4"/>
    <s v="Senior"/>
    <x v="0"/>
    <x v="1"/>
    <x v="1"/>
    <n v="15000000"/>
    <n v="5"/>
  </r>
  <r>
    <s v="HR000206"/>
    <s v="Hikmah Lestari"/>
    <x v="0"/>
    <x v="3"/>
    <s v="Manager"/>
    <x v="1"/>
    <x v="0"/>
    <x v="0"/>
    <n v="20000000"/>
    <n v="4"/>
  </r>
  <r>
    <s v="HR000207"/>
    <s v="Ibadurrahman"/>
    <x v="0"/>
    <x v="2"/>
    <s v="Manager"/>
    <x v="1"/>
    <x v="0"/>
    <x v="0"/>
    <n v="20000000"/>
    <n v="3"/>
  </r>
  <r>
    <s v="HR000208"/>
    <s v="Ibrahim Malik"/>
    <x v="0"/>
    <x v="3"/>
    <s v="Manager"/>
    <x v="0"/>
    <x v="1"/>
    <x v="0"/>
    <n v="20000000"/>
    <n v="3"/>
  </r>
  <r>
    <s v="HR000209"/>
    <s v="Ichsanuddin"/>
    <x v="0"/>
    <x v="1"/>
    <s v="Manager"/>
    <x v="1"/>
    <x v="0"/>
    <x v="0"/>
    <n v="20000000"/>
    <n v="3"/>
  </r>
  <r>
    <s v="HR000210"/>
    <s v="Idham Chalid"/>
    <x v="0"/>
    <x v="2"/>
    <s v="Senior"/>
    <x v="1"/>
    <x v="1"/>
    <x v="1"/>
    <n v="15000000"/>
    <n v="3"/>
  </r>
  <r>
    <s v="HR000211"/>
    <s v="Idrus Marham"/>
    <x v="0"/>
    <x v="3"/>
    <s v="Senior"/>
    <x v="0"/>
    <x v="1"/>
    <x v="1"/>
    <n v="15000000"/>
    <n v="5"/>
  </r>
  <r>
    <s v="HR000212"/>
    <s v="Ihsan Maulana"/>
    <x v="1"/>
    <x v="4"/>
    <s v="Senior"/>
    <x v="0"/>
    <x v="0"/>
    <x v="1"/>
    <n v="15000000"/>
    <n v="5"/>
  </r>
  <r>
    <s v="HR000213"/>
    <s v="Iis Dahlia"/>
    <x v="0"/>
    <x v="0"/>
    <s v="Staff"/>
    <x v="1"/>
    <x v="0"/>
    <x v="2"/>
    <n v="7000000"/>
    <n v="4"/>
  </r>
  <r>
    <s v="HR000214"/>
    <s v="Ika Puspita"/>
    <x v="0"/>
    <x v="2"/>
    <s v="Manager"/>
    <x v="1"/>
    <x v="0"/>
    <x v="0"/>
    <n v="20000000"/>
    <n v="3"/>
  </r>
  <r>
    <s v="HR000215"/>
    <s v="Ikang Fawzi"/>
    <x v="0"/>
    <x v="2"/>
    <s v="Staff"/>
    <x v="0"/>
    <x v="1"/>
    <x v="2"/>
    <n v="7000000"/>
    <n v="5"/>
  </r>
  <r>
    <s v="HR000216"/>
    <s v="Ilham Habibie"/>
    <x v="1"/>
    <x v="2"/>
    <s v="Senior"/>
    <x v="1"/>
    <x v="1"/>
    <x v="1"/>
    <n v="15000000"/>
    <n v="3"/>
  </r>
  <r>
    <s v="HR000217"/>
    <s v="Imam Nahrawi"/>
    <x v="1"/>
    <x v="4"/>
    <s v="Staff"/>
    <x v="0"/>
    <x v="1"/>
    <x v="2"/>
    <n v="7000000"/>
    <n v="3"/>
  </r>
  <r>
    <s v="HR000218"/>
    <s v="Iman Santoso"/>
    <x v="0"/>
    <x v="0"/>
    <s v="Senior"/>
    <x v="1"/>
    <x v="0"/>
    <x v="1"/>
    <n v="15000000"/>
    <n v="5"/>
  </r>
  <r>
    <s v="HR000219"/>
    <s v="Imran Khan"/>
    <x v="0"/>
    <x v="2"/>
    <s v="Senior"/>
    <x v="0"/>
    <x v="0"/>
    <x v="1"/>
    <n v="15000000"/>
    <n v="5"/>
  </r>
  <r>
    <s v="HR000220"/>
    <s v="Ina Marlina"/>
    <x v="0"/>
    <x v="0"/>
    <s v="Senior"/>
    <x v="0"/>
    <x v="1"/>
    <x v="1"/>
    <n v="15000000"/>
    <n v="3"/>
  </r>
  <r>
    <s v="HR000221"/>
    <s v="Indah Permatasari"/>
    <x v="0"/>
    <x v="4"/>
    <s v="Manager"/>
    <x v="0"/>
    <x v="1"/>
    <x v="0"/>
    <n v="20000000"/>
    <n v="4"/>
  </r>
  <r>
    <s v="HR000222"/>
    <s v="Indra Lesmana"/>
    <x v="0"/>
    <x v="3"/>
    <s v="Senior"/>
    <x v="0"/>
    <x v="0"/>
    <x v="1"/>
    <n v="15000000"/>
    <n v="4"/>
  </r>
  <r>
    <s v="HR000223"/>
    <s v="Indro Warkop"/>
    <x v="1"/>
    <x v="3"/>
    <s v="Senior"/>
    <x v="1"/>
    <x v="1"/>
    <x v="1"/>
    <n v="15000000"/>
    <n v="5"/>
  </r>
  <r>
    <s v="HR000224"/>
    <s v="Inul Daratista"/>
    <x v="1"/>
    <x v="2"/>
    <s v="Manager"/>
    <x v="0"/>
    <x v="1"/>
    <x v="0"/>
    <n v="20000000"/>
    <n v="3"/>
  </r>
  <r>
    <s v="HR000225"/>
    <s v="Iqbal Ramadhan"/>
    <x v="1"/>
    <x v="0"/>
    <s v="Manager"/>
    <x v="0"/>
    <x v="1"/>
    <x v="0"/>
    <n v="20000000"/>
    <n v="4"/>
  </r>
  <r>
    <s v="HR000226"/>
    <s v="Ira Koesno"/>
    <x v="0"/>
    <x v="2"/>
    <s v="Senior"/>
    <x v="1"/>
    <x v="1"/>
    <x v="1"/>
    <n v="15000000"/>
    <n v="4"/>
  </r>
  <r>
    <s v="HR000227"/>
    <s v="Irawan Santos"/>
    <x v="0"/>
    <x v="4"/>
    <s v="Staff"/>
    <x v="0"/>
    <x v="1"/>
    <x v="2"/>
    <n v="7000000"/>
    <n v="4"/>
  </r>
  <r>
    <s v="HR000228"/>
    <s v="Irma Suryani"/>
    <x v="0"/>
    <x v="0"/>
    <s v="Staff"/>
    <x v="1"/>
    <x v="0"/>
    <x v="2"/>
    <n v="7000000"/>
    <n v="4"/>
  </r>
  <r>
    <s v="HR000229"/>
    <s v="Irwan Mussry"/>
    <x v="0"/>
    <x v="0"/>
    <s v="Manager"/>
    <x v="1"/>
    <x v="1"/>
    <x v="0"/>
    <n v="20000000"/>
    <n v="5"/>
  </r>
  <r>
    <s v="HR000230"/>
    <s v="Isyana Sarasvati"/>
    <x v="1"/>
    <x v="0"/>
    <s v="Manager"/>
    <x v="0"/>
    <x v="1"/>
    <x v="0"/>
    <n v="20000000"/>
    <n v="4"/>
  </r>
  <r>
    <s v="HR000231"/>
    <s v="Ivan Gunawan"/>
    <x v="1"/>
    <x v="4"/>
    <s v="Senior"/>
    <x v="0"/>
    <x v="0"/>
    <x v="1"/>
    <n v="15000000"/>
    <n v="4"/>
  </r>
  <r>
    <s v="HR000232"/>
    <s v="Iwan Fals"/>
    <x v="1"/>
    <x v="2"/>
    <s v="Senior"/>
    <x v="0"/>
    <x v="1"/>
    <x v="1"/>
    <n v="15000000"/>
    <n v="4"/>
  </r>
  <r>
    <s v="HR000233"/>
    <s v="Iyang P-Project"/>
    <x v="1"/>
    <x v="1"/>
    <s v="Staff"/>
    <x v="1"/>
    <x v="0"/>
    <x v="2"/>
    <n v="7000000"/>
    <n v="4"/>
  </r>
  <r>
    <s v="HR000234"/>
    <s v="Jajang C. Noer"/>
    <x v="1"/>
    <x v="2"/>
    <s v="Manager"/>
    <x v="1"/>
    <x v="1"/>
    <x v="0"/>
    <n v="20000000"/>
    <n v="5"/>
  </r>
  <r>
    <s v="HR000235"/>
    <s v="Jamal Mirdad"/>
    <x v="1"/>
    <x v="4"/>
    <s v="Senior"/>
    <x v="0"/>
    <x v="1"/>
    <x v="1"/>
    <n v="15000000"/>
    <n v="4"/>
  </r>
  <r>
    <s v="HR000236"/>
    <s v="Jamil Azzaini"/>
    <x v="1"/>
    <x v="3"/>
    <s v="Senior"/>
    <x v="1"/>
    <x v="1"/>
    <x v="1"/>
    <n v="15000000"/>
    <n v="4"/>
  </r>
  <r>
    <s v="HR000237"/>
    <s v="Janto Silalahi"/>
    <x v="1"/>
    <x v="2"/>
    <s v="Senior"/>
    <x v="1"/>
    <x v="1"/>
    <x v="1"/>
    <n v="15000000"/>
    <n v="3"/>
  </r>
  <r>
    <s v="HR000238"/>
    <s v="Jefri Nichol"/>
    <x v="1"/>
    <x v="4"/>
    <s v="Manager"/>
    <x v="0"/>
    <x v="1"/>
    <x v="0"/>
    <n v="20000000"/>
    <n v="3"/>
  </r>
  <r>
    <s v="HR000239"/>
    <s v="Jeremy Thomas"/>
    <x v="1"/>
    <x v="4"/>
    <s v="Senior"/>
    <x v="0"/>
    <x v="0"/>
    <x v="1"/>
    <n v="15000000"/>
    <n v="5"/>
  </r>
  <r>
    <s v="HR000240"/>
    <s v="Jerry Yan"/>
    <x v="1"/>
    <x v="3"/>
    <s v="Staff"/>
    <x v="1"/>
    <x v="1"/>
    <x v="2"/>
    <n v="7000000"/>
    <n v="5"/>
  </r>
  <r>
    <s v="HR000241"/>
    <s v="Jessica Iskandar"/>
    <x v="1"/>
    <x v="1"/>
    <s v="Staff"/>
    <x v="0"/>
    <x v="1"/>
    <x v="2"/>
    <n v="7000000"/>
    <n v="5"/>
  </r>
  <r>
    <s v="HR000242"/>
    <s v="Joko Widodo"/>
    <x v="1"/>
    <x v="2"/>
    <s v="Senior"/>
    <x v="0"/>
    <x v="1"/>
    <x v="1"/>
    <n v="15000000"/>
    <n v="4"/>
  </r>
  <r>
    <s v="HR000243"/>
    <s v="Jonathan Frizzy"/>
    <x v="0"/>
    <x v="4"/>
    <s v="Senior"/>
    <x v="0"/>
    <x v="1"/>
    <x v="1"/>
    <n v="15000000"/>
    <n v="4"/>
  </r>
  <r>
    <s v="HR000244"/>
    <s v="Jono Armstrong"/>
    <x v="1"/>
    <x v="2"/>
    <s v="Staff"/>
    <x v="1"/>
    <x v="0"/>
    <x v="2"/>
    <n v="7000000"/>
    <n v="4"/>
  </r>
  <r>
    <s v="HR000245"/>
    <s v="Jopie Latul"/>
    <x v="0"/>
    <x v="1"/>
    <s v="Senior"/>
    <x v="0"/>
    <x v="1"/>
    <x v="1"/>
    <n v="15000000"/>
    <n v="5"/>
  </r>
  <r>
    <s v="HR000246"/>
    <s v="Juwita Bahar"/>
    <x v="0"/>
    <x v="4"/>
    <s v="Manager"/>
    <x v="1"/>
    <x v="0"/>
    <x v="0"/>
    <n v="20000000"/>
    <n v="3"/>
  </r>
  <r>
    <s v="HR000247"/>
    <s v="Kaka Slank"/>
    <x v="1"/>
    <x v="1"/>
    <s v="Senior"/>
    <x v="1"/>
    <x v="1"/>
    <x v="1"/>
    <n v="15000000"/>
    <n v="4"/>
  </r>
  <r>
    <s v="HR000248"/>
    <s v="Kak Seto"/>
    <x v="1"/>
    <x v="2"/>
    <s v="Manager"/>
    <x v="0"/>
    <x v="1"/>
    <x v="0"/>
    <n v="20000000"/>
    <n v="3"/>
  </r>
  <r>
    <s v="HR000249"/>
    <s v="Kalla Jusuf"/>
    <x v="1"/>
    <x v="4"/>
    <s v="Staff"/>
    <x v="0"/>
    <x v="0"/>
    <x v="2"/>
    <n v="7000000"/>
    <n v="3"/>
  </r>
  <r>
    <s v="HR000250"/>
    <s v="Kamidia Radisti"/>
    <x v="1"/>
    <x v="4"/>
    <s v="Manager"/>
    <x v="0"/>
    <x v="1"/>
    <x v="0"/>
    <n v="20000000"/>
    <n v="3"/>
  </r>
  <r>
    <s v="HR000251"/>
    <s v="Karen Agustiawan"/>
    <x v="1"/>
    <x v="0"/>
    <s v="Staff"/>
    <x v="0"/>
    <x v="0"/>
    <x v="2"/>
    <n v="7000000"/>
    <n v="3"/>
  </r>
  <r>
    <s v="HR000252"/>
    <s v="Kartika Putri"/>
    <x v="0"/>
    <x v="2"/>
    <s v="Senior"/>
    <x v="0"/>
    <x v="1"/>
    <x v="1"/>
    <n v="15000000"/>
    <n v="5"/>
  </r>
  <r>
    <s v="HR000253"/>
    <s v="Katon Bagaskara"/>
    <x v="1"/>
    <x v="2"/>
    <s v="Manager"/>
    <x v="0"/>
    <x v="0"/>
    <x v="0"/>
    <n v="20000000"/>
    <n v="3"/>
  </r>
  <r>
    <s v="HR000254"/>
    <s v="Kevin Sanjaya"/>
    <x v="0"/>
    <x v="2"/>
    <s v="Senior"/>
    <x v="0"/>
    <x v="1"/>
    <x v="1"/>
    <n v="15000000"/>
    <n v="3"/>
  </r>
  <r>
    <s v="HR000255"/>
    <s v="Khofifah Indar"/>
    <x v="0"/>
    <x v="2"/>
    <s v="Staff"/>
    <x v="1"/>
    <x v="1"/>
    <x v="2"/>
    <n v="7000000"/>
    <n v="5"/>
  </r>
  <r>
    <s v="HR000256"/>
    <s v="Ki Manteb"/>
    <x v="0"/>
    <x v="4"/>
    <s v="Senior"/>
    <x v="0"/>
    <x v="1"/>
    <x v="1"/>
    <n v="15000000"/>
    <n v="4"/>
  </r>
  <r>
    <s v="HR000257"/>
    <s v="Kiki Fatmala"/>
    <x v="1"/>
    <x v="0"/>
    <s v="Senior"/>
    <x v="0"/>
    <x v="1"/>
    <x v="1"/>
    <n v="15000000"/>
    <n v="5"/>
  </r>
  <r>
    <s v="HR000258"/>
    <s v="Kirana Larasati"/>
    <x v="0"/>
    <x v="2"/>
    <s v="Senior"/>
    <x v="0"/>
    <x v="1"/>
    <x v="1"/>
    <n v="15000000"/>
    <n v="5"/>
  </r>
  <r>
    <s v="HR000259"/>
    <s v="Komeng"/>
    <x v="0"/>
    <x v="0"/>
    <s v="Staff"/>
    <x v="1"/>
    <x v="1"/>
    <x v="2"/>
    <n v="7000000"/>
    <n v="3"/>
  </r>
  <r>
    <s v="HR000260"/>
    <s v="Krisdayanti"/>
    <x v="0"/>
    <x v="4"/>
    <s v="Senior"/>
    <x v="1"/>
    <x v="1"/>
    <x v="1"/>
    <n v="15000000"/>
    <n v="4"/>
  </r>
  <r>
    <s v="HR000261"/>
    <s v="Kristina"/>
    <x v="0"/>
    <x v="0"/>
    <s v="Senior"/>
    <x v="0"/>
    <x v="0"/>
    <x v="1"/>
    <n v="15000000"/>
    <n v="4"/>
  </r>
  <r>
    <s v="HR000262"/>
    <s v="Kunto Aji"/>
    <x v="1"/>
    <x v="3"/>
    <s v="Manager"/>
    <x v="0"/>
    <x v="0"/>
    <x v="0"/>
    <n v="20000000"/>
    <n v="5"/>
  </r>
  <r>
    <s v="HR000263"/>
    <s v="Kusuma Wardhani"/>
    <x v="0"/>
    <x v="1"/>
    <s v="Senior"/>
    <x v="1"/>
    <x v="0"/>
    <x v="1"/>
    <n v="15000000"/>
    <n v="3"/>
  </r>
  <r>
    <s v="HR000264"/>
    <s v="Laksmana"/>
    <x v="0"/>
    <x v="0"/>
    <s v="Staff"/>
    <x v="1"/>
    <x v="0"/>
    <x v="2"/>
    <n v="7000000"/>
    <n v="5"/>
  </r>
  <r>
    <s v="HR000265"/>
    <s v="Lala Karmela"/>
    <x v="1"/>
    <x v="0"/>
    <s v="Manager"/>
    <x v="1"/>
    <x v="1"/>
    <x v="0"/>
    <n v="20000000"/>
    <n v="4"/>
  </r>
  <r>
    <s v="HR000266"/>
    <s v="Larasati"/>
    <x v="1"/>
    <x v="4"/>
    <s v="Senior"/>
    <x v="0"/>
    <x v="0"/>
    <x v="1"/>
    <n v="15000000"/>
    <n v="5"/>
  </r>
  <r>
    <s v="HR000267"/>
    <s v="Laudya Cynthia"/>
    <x v="0"/>
    <x v="3"/>
    <s v="Manager"/>
    <x v="1"/>
    <x v="0"/>
    <x v="0"/>
    <n v="20000000"/>
    <n v="4"/>
  </r>
  <r>
    <s v="HR000268"/>
    <s v="Laura Basuki"/>
    <x v="0"/>
    <x v="1"/>
    <s v="Staff"/>
    <x v="1"/>
    <x v="1"/>
    <x v="2"/>
    <n v="7000000"/>
    <n v="5"/>
  </r>
  <r>
    <s v="HR000269"/>
    <s v="Ledang Sukma"/>
    <x v="0"/>
    <x v="4"/>
    <s v="Senior"/>
    <x v="1"/>
    <x v="1"/>
    <x v="1"/>
    <n v="15000000"/>
    <n v="3"/>
  </r>
  <r>
    <s v="HR000270"/>
    <s v="Lembu Wiworo"/>
    <x v="0"/>
    <x v="2"/>
    <s v="Senior"/>
    <x v="1"/>
    <x v="1"/>
    <x v="1"/>
    <n v="15000000"/>
    <n v="3"/>
  </r>
  <r>
    <s v="HR000271"/>
    <s v="Lena Marlina"/>
    <x v="1"/>
    <x v="1"/>
    <s v="Staff"/>
    <x v="0"/>
    <x v="1"/>
    <x v="2"/>
    <n v="7000000"/>
    <n v="5"/>
  </r>
  <r>
    <s v="HR000272"/>
    <s v="Lestari Handayani"/>
    <x v="1"/>
    <x v="2"/>
    <s v="Staff"/>
    <x v="1"/>
    <x v="0"/>
    <x v="2"/>
    <n v="7000000"/>
    <n v="5"/>
  </r>
  <r>
    <s v="HR000273"/>
    <s v="Lia Aminuddin"/>
    <x v="1"/>
    <x v="4"/>
    <s v="Staff"/>
    <x v="0"/>
    <x v="0"/>
    <x v="2"/>
    <n v="7000000"/>
    <n v="3"/>
  </r>
  <r>
    <s v="HR000274"/>
    <s v="Lies Hartono"/>
    <x v="0"/>
    <x v="1"/>
    <s v="Senior"/>
    <x v="0"/>
    <x v="0"/>
    <x v="1"/>
    <n v="15000000"/>
    <n v="5"/>
  </r>
  <r>
    <s v="HR000275"/>
    <s v="Lily Wahid"/>
    <x v="0"/>
    <x v="2"/>
    <s v="Staff"/>
    <x v="0"/>
    <x v="0"/>
    <x v="2"/>
    <n v="7000000"/>
    <n v="4"/>
  </r>
  <r>
    <s v="HR000276"/>
    <s v="Linda Gumelar"/>
    <x v="0"/>
    <x v="1"/>
    <s v="Staff"/>
    <x v="1"/>
    <x v="0"/>
    <x v="2"/>
    <n v="7000000"/>
    <n v="3"/>
  </r>
  <r>
    <s v="HR000277"/>
    <s v="Liza Natalia"/>
    <x v="0"/>
    <x v="4"/>
    <s v="Staff"/>
    <x v="1"/>
    <x v="1"/>
    <x v="2"/>
    <n v="7000000"/>
    <n v="5"/>
  </r>
  <r>
    <s v="HR000278"/>
    <s v="Lola Amaria"/>
    <x v="1"/>
    <x v="0"/>
    <s v="Staff"/>
    <x v="0"/>
    <x v="1"/>
    <x v="2"/>
    <n v="7000000"/>
    <n v="4"/>
  </r>
  <r>
    <s v="HR000279"/>
    <s v="Lukman Sardi"/>
    <x v="0"/>
    <x v="2"/>
    <s v="Staff"/>
    <x v="0"/>
    <x v="1"/>
    <x v="2"/>
    <n v="7000000"/>
    <n v="5"/>
  </r>
  <r>
    <s v="HR000280"/>
    <s v="Luna Maya"/>
    <x v="0"/>
    <x v="3"/>
    <s v="Senior"/>
    <x v="0"/>
    <x v="1"/>
    <x v="1"/>
    <n v="15000000"/>
    <n v="3"/>
  </r>
  <r>
    <s v="HR000281"/>
    <s v="Lyodra Ginting"/>
    <x v="1"/>
    <x v="4"/>
    <s v="Senior"/>
    <x v="0"/>
    <x v="1"/>
    <x v="1"/>
    <n v="15000000"/>
    <n v="5"/>
  </r>
  <r>
    <s v="HR000282"/>
    <s v="Magdalena"/>
    <x v="1"/>
    <x v="0"/>
    <s v="Senior"/>
    <x v="0"/>
    <x v="1"/>
    <x v="1"/>
    <n v="15000000"/>
    <n v="3"/>
  </r>
  <r>
    <s v="HR000283"/>
    <s v="Mahendra Siregar"/>
    <x v="1"/>
    <x v="4"/>
    <s v="Staff"/>
    <x v="1"/>
    <x v="0"/>
    <x v="2"/>
    <n v="7000000"/>
    <n v="5"/>
  </r>
  <r>
    <s v="HR000284"/>
    <s v="Maudy Ayunda"/>
    <x v="1"/>
    <x v="0"/>
    <s v="Staff"/>
    <x v="0"/>
    <x v="1"/>
    <x v="2"/>
    <n v="7000000"/>
    <n v="3"/>
  </r>
  <r>
    <s v="HR000285"/>
    <s v="Megawati Soekarno"/>
    <x v="1"/>
    <x v="4"/>
    <s v="Manager"/>
    <x v="1"/>
    <x v="1"/>
    <x v="0"/>
    <n v="20000000"/>
    <n v="4"/>
  </r>
  <r>
    <s v="HR000286"/>
    <s v="Melly Goeslaw"/>
    <x v="0"/>
    <x v="3"/>
    <s v="Staff"/>
    <x v="1"/>
    <x v="0"/>
    <x v="2"/>
    <n v="7000000"/>
    <n v="3"/>
  </r>
  <r>
    <s v="HR000287"/>
    <s v="Meriam Bellina"/>
    <x v="0"/>
    <x v="3"/>
    <s v="Staff"/>
    <x v="0"/>
    <x v="1"/>
    <x v="2"/>
    <n v="7000000"/>
    <n v="4"/>
  </r>
  <r>
    <s v="HR000288"/>
    <s v="Moeldoko"/>
    <x v="0"/>
    <x v="4"/>
    <s v="Manager"/>
    <x v="0"/>
    <x v="1"/>
    <x v="0"/>
    <n v="20000000"/>
    <n v="5"/>
  </r>
  <r>
    <s v="HR000289"/>
    <s v="Mohammad Hatta"/>
    <x v="1"/>
    <x v="0"/>
    <s v="Senior"/>
    <x v="0"/>
    <x v="1"/>
    <x v="1"/>
    <n v="15000000"/>
    <n v="3"/>
  </r>
  <r>
    <s v="HR000290"/>
    <s v="Muhaimin Iskandar"/>
    <x v="1"/>
    <x v="0"/>
    <s v="Manager"/>
    <x v="0"/>
    <x v="1"/>
    <x v="0"/>
    <n v="20000000"/>
    <n v="5"/>
  </r>
  <r>
    <s v="HR000291"/>
    <s v="Mulan Jameela"/>
    <x v="0"/>
    <x v="2"/>
    <s v="Manager"/>
    <x v="0"/>
    <x v="1"/>
    <x v="0"/>
    <n v="20000000"/>
    <n v="4"/>
  </r>
  <r>
    <s v="HR000292"/>
    <s v="Nabila Syakieb"/>
    <x v="0"/>
    <x v="4"/>
    <s v="Senior"/>
    <x v="1"/>
    <x v="1"/>
    <x v="1"/>
    <n v="15000000"/>
    <n v="4"/>
  </r>
  <r>
    <s v="HR000293"/>
    <s v="Nadiem Makarim"/>
    <x v="0"/>
    <x v="2"/>
    <s v="Manager"/>
    <x v="0"/>
    <x v="0"/>
    <x v="0"/>
    <n v="20000000"/>
    <n v="3"/>
  </r>
  <r>
    <s v="HR000294"/>
    <s v="Nafa Urbach"/>
    <x v="0"/>
    <x v="0"/>
    <s v="Manager"/>
    <x v="1"/>
    <x v="1"/>
    <x v="0"/>
    <n v="20000000"/>
    <n v="4"/>
  </r>
  <r>
    <s v="HR000295"/>
    <s v="Najwa Shihab"/>
    <x v="0"/>
    <x v="3"/>
    <s v="Staff"/>
    <x v="1"/>
    <x v="1"/>
    <x v="2"/>
    <n v="7000000"/>
    <n v="5"/>
  </r>
  <r>
    <s v="HR000296"/>
    <s v="Nana Mirdad"/>
    <x v="0"/>
    <x v="3"/>
    <s v="Manager"/>
    <x v="1"/>
    <x v="0"/>
    <x v="0"/>
    <n v="20000000"/>
    <n v="4"/>
  </r>
  <r>
    <s v="HR000297"/>
    <s v="Nani Wijaya"/>
    <x v="0"/>
    <x v="3"/>
    <s v="Manager"/>
    <x v="1"/>
    <x v="1"/>
    <x v="0"/>
    <n v="20000000"/>
    <n v="3"/>
  </r>
  <r>
    <s v="HR000298"/>
    <s v="Nasser Mansoor"/>
    <x v="1"/>
    <x v="4"/>
    <s v="Manager"/>
    <x v="0"/>
    <x v="0"/>
    <x v="0"/>
    <n v="20000000"/>
    <n v="5"/>
  </r>
  <r>
    <s v="HR000299"/>
    <s v="Naufal Samudra"/>
    <x v="1"/>
    <x v="4"/>
    <s v="Manager"/>
    <x v="0"/>
    <x v="0"/>
    <x v="0"/>
    <n v="20000000"/>
    <n v="4"/>
  </r>
  <r>
    <s v="HR000300"/>
    <s v="Harry Tanoe"/>
    <x v="1"/>
    <x v="2"/>
    <s v="Staff"/>
    <x v="0"/>
    <x v="0"/>
    <x v="2"/>
    <n v="7000000"/>
    <n v="5"/>
  </r>
  <r>
    <s v="HR000301"/>
    <s v="Nia Ramadhani"/>
    <x v="0"/>
    <x v="2"/>
    <s v="Senior"/>
    <x v="0"/>
    <x v="0"/>
    <x v="1"/>
    <n v="15000000"/>
    <n v="4"/>
  </r>
  <r>
    <s v="HR000302"/>
    <s v="Nila Sari"/>
    <x v="0"/>
    <x v="1"/>
    <s v="Senior"/>
    <x v="0"/>
    <x v="1"/>
    <x v="1"/>
    <n v="15000000"/>
    <n v="4"/>
  </r>
  <r>
    <s v="HR000303"/>
    <s v="Nina Marlina"/>
    <x v="0"/>
    <x v="2"/>
    <s v="Senior"/>
    <x v="1"/>
    <x v="1"/>
    <x v="1"/>
    <n v="15000000"/>
    <n v="5"/>
  </r>
  <r>
    <s v="HR000304"/>
    <s v="Ningsih Lestari"/>
    <x v="0"/>
    <x v="3"/>
    <s v="Staff"/>
    <x v="1"/>
    <x v="0"/>
    <x v="2"/>
    <n v="7000000"/>
    <n v="4"/>
  </r>
  <r>
    <s v="HR000305"/>
    <s v="Novi Rahmawati"/>
    <x v="0"/>
    <x v="1"/>
    <s v="Senior"/>
    <x v="0"/>
    <x v="0"/>
    <x v="1"/>
    <n v="15000000"/>
    <n v="5"/>
  </r>
  <r>
    <s v="HR000306"/>
    <s v="Novia Sari"/>
    <x v="0"/>
    <x v="2"/>
    <s v="Manager"/>
    <x v="0"/>
    <x v="0"/>
    <x v="0"/>
    <n v="20000000"/>
    <n v="4"/>
  </r>
  <r>
    <s v="HR000307"/>
    <s v="Novita Sari"/>
    <x v="0"/>
    <x v="0"/>
    <s v="Senior"/>
    <x v="0"/>
    <x v="0"/>
    <x v="1"/>
    <n v="15000000"/>
    <n v="5"/>
  </r>
  <r>
    <s v="HR000308"/>
    <s v="Nur Aini"/>
    <x v="0"/>
    <x v="4"/>
    <s v="Manager"/>
    <x v="1"/>
    <x v="1"/>
    <x v="0"/>
    <n v="20000000"/>
    <n v="4"/>
  </r>
  <r>
    <s v="HR000309"/>
    <s v="Nur Hasanah"/>
    <x v="0"/>
    <x v="4"/>
    <s v="Manager"/>
    <x v="0"/>
    <x v="0"/>
    <x v="0"/>
    <n v="20000000"/>
    <n v="3"/>
  </r>
  <r>
    <s v="HR000310"/>
    <s v="Nur Hidayah"/>
    <x v="0"/>
    <x v="1"/>
    <s v="Manager"/>
    <x v="0"/>
    <x v="1"/>
    <x v="0"/>
    <n v="20000000"/>
    <n v="5"/>
  </r>
  <r>
    <s v="HR000311"/>
    <s v="Nurdin Halid"/>
    <x v="0"/>
    <x v="2"/>
    <s v="Staff"/>
    <x v="0"/>
    <x v="1"/>
    <x v="2"/>
    <n v="7000000"/>
    <n v="3"/>
  </r>
  <r>
    <s v="HR000312"/>
    <s v="Nurul Aini"/>
    <x v="0"/>
    <x v="2"/>
    <s v="Senior"/>
    <x v="0"/>
    <x v="0"/>
    <x v="1"/>
    <n v="15000000"/>
    <n v="5"/>
  </r>
  <r>
    <s v="HR000313"/>
    <s v="Nurul Hidayah"/>
    <x v="1"/>
    <x v="1"/>
    <s v="Staff"/>
    <x v="0"/>
    <x v="0"/>
    <x v="2"/>
    <n v="7000000"/>
    <n v="4"/>
  </r>
  <r>
    <s v="HR000314"/>
    <s v="Nurul Huda"/>
    <x v="0"/>
    <x v="1"/>
    <s v="Staff"/>
    <x v="0"/>
    <x v="1"/>
    <x v="2"/>
    <n v="7000000"/>
    <n v="3"/>
  </r>
  <r>
    <s v="HR000315"/>
    <s v="Nyoman Rai"/>
    <x v="0"/>
    <x v="0"/>
    <s v="Senior"/>
    <x v="1"/>
    <x v="1"/>
    <x v="1"/>
    <n v="15000000"/>
    <n v="4"/>
  </r>
  <r>
    <s v="HR000316"/>
    <s v="Oki Setiana"/>
    <x v="0"/>
    <x v="1"/>
    <s v="Senior"/>
    <x v="0"/>
    <x v="0"/>
    <x v="1"/>
    <n v="15000000"/>
    <n v="5"/>
  </r>
  <r>
    <s v="HR000317"/>
    <s v="Olga Syahputra"/>
    <x v="0"/>
    <x v="2"/>
    <s v="Staff"/>
    <x v="0"/>
    <x v="0"/>
    <x v="2"/>
    <n v="7000000"/>
    <n v="4"/>
  </r>
  <r>
    <s v="HR000318"/>
    <s v="Olivia Jensen"/>
    <x v="0"/>
    <x v="2"/>
    <s v="Senior"/>
    <x v="1"/>
    <x v="0"/>
    <x v="1"/>
    <n v="15000000"/>
    <n v="5"/>
  </r>
  <r>
    <s v="HR000319"/>
    <s v="Ony Syahrial"/>
    <x v="0"/>
    <x v="4"/>
    <s v="Staff"/>
    <x v="1"/>
    <x v="0"/>
    <x v="2"/>
    <n v="7000000"/>
    <n v="3"/>
  </r>
  <r>
    <s v="HR000320"/>
    <s v="Oppie Andaresta"/>
    <x v="0"/>
    <x v="1"/>
    <s v="Manager"/>
    <x v="0"/>
    <x v="1"/>
    <x v="0"/>
    <n v="20000000"/>
    <n v="3"/>
  </r>
  <r>
    <s v="HR000321"/>
    <s v="Olla Ramlan"/>
    <x v="1"/>
    <x v="2"/>
    <s v="Senior"/>
    <x v="0"/>
    <x v="0"/>
    <x v="1"/>
    <n v="15000000"/>
    <n v="3"/>
  </r>
  <r>
    <s v="HR000322"/>
    <s v="Panca Sakti"/>
    <x v="0"/>
    <x v="1"/>
    <s v="Senior"/>
    <x v="0"/>
    <x v="1"/>
    <x v="1"/>
    <n v="15000000"/>
    <n v="5"/>
  </r>
  <r>
    <s v="HR000323"/>
    <s v="Pandu Dewanata"/>
    <x v="1"/>
    <x v="1"/>
    <s v="Manager"/>
    <x v="1"/>
    <x v="0"/>
    <x v="0"/>
    <n v="20000000"/>
    <n v="3"/>
  </r>
  <r>
    <s v="HR000324"/>
    <s v="Pangeran Diponegoro"/>
    <x v="1"/>
    <x v="2"/>
    <s v="Senior"/>
    <x v="1"/>
    <x v="1"/>
    <x v="1"/>
    <n v="15000000"/>
    <n v="3"/>
  </r>
  <r>
    <s v="HR000325"/>
    <s v="Panji Pragiwaksono"/>
    <x v="1"/>
    <x v="1"/>
    <s v="Manager"/>
    <x v="1"/>
    <x v="0"/>
    <x v="0"/>
    <n v="20000000"/>
    <n v="5"/>
  </r>
  <r>
    <s v="HR000326"/>
    <s v="Paramitha Rusady"/>
    <x v="1"/>
    <x v="0"/>
    <s v="Staff"/>
    <x v="0"/>
    <x v="1"/>
    <x v="2"/>
    <n v="7000000"/>
    <n v="3"/>
  </r>
  <r>
    <s v="HR000327"/>
    <s v="Pasha Ungu"/>
    <x v="1"/>
    <x v="2"/>
    <s v="Staff"/>
    <x v="0"/>
    <x v="0"/>
    <x v="2"/>
    <n v="7000000"/>
    <n v="5"/>
  </r>
  <r>
    <s v="HR000328"/>
    <s v="Patrialis Akbar"/>
    <x v="1"/>
    <x v="0"/>
    <s v="Manager"/>
    <x v="0"/>
    <x v="1"/>
    <x v="0"/>
    <n v="20000000"/>
    <n v="3"/>
  </r>
  <r>
    <s v="HR000329"/>
    <s v="Pevita Pearce"/>
    <x v="1"/>
    <x v="0"/>
    <s v="Manager"/>
    <x v="1"/>
    <x v="1"/>
    <x v="0"/>
    <n v="20000000"/>
    <n v="5"/>
  </r>
  <r>
    <s v="HR000330"/>
    <s v="Poppy Bunga"/>
    <x v="1"/>
    <x v="1"/>
    <s v="Staff"/>
    <x v="0"/>
    <x v="1"/>
    <x v="2"/>
    <n v="7000000"/>
    <n v="4"/>
  </r>
  <r>
    <s v="HR000331"/>
    <s v="Praba Wijaya"/>
    <x v="0"/>
    <x v="4"/>
    <s v="Senior"/>
    <x v="0"/>
    <x v="0"/>
    <x v="1"/>
    <n v="15000000"/>
    <n v="5"/>
  </r>
  <r>
    <s v="HR000332"/>
    <s v="Prabowo Subianto"/>
    <x v="0"/>
    <x v="4"/>
    <s v="Senior"/>
    <x v="0"/>
    <x v="1"/>
    <x v="1"/>
    <n v="15000000"/>
    <n v="3"/>
  </r>
  <r>
    <s v="HR000333"/>
    <s v="Praditya"/>
    <x v="1"/>
    <x v="1"/>
    <s v="Staff"/>
    <x v="1"/>
    <x v="1"/>
    <x v="2"/>
    <n v="7000000"/>
    <n v="3"/>
  </r>
  <r>
    <s v="HR000334"/>
    <s v="Prama Ananta"/>
    <x v="0"/>
    <x v="4"/>
    <s v="Staff"/>
    <x v="0"/>
    <x v="0"/>
    <x v="2"/>
    <n v="7000000"/>
    <n v="5"/>
  </r>
  <r>
    <s v="HR000335"/>
    <s v="Pramono Anung"/>
    <x v="1"/>
    <x v="3"/>
    <s v="Staff"/>
    <x v="1"/>
    <x v="0"/>
    <x v="2"/>
    <n v="7000000"/>
    <n v="3"/>
  </r>
  <r>
    <s v="HR000336"/>
    <s v="Prita Laura"/>
    <x v="0"/>
    <x v="2"/>
    <s v="Staff"/>
    <x v="1"/>
    <x v="0"/>
    <x v="2"/>
    <n v="7000000"/>
    <n v="4"/>
  </r>
  <r>
    <s v="HR000337"/>
    <s v="Puan Maharani"/>
    <x v="0"/>
    <x v="2"/>
    <s v="Staff"/>
    <x v="1"/>
    <x v="1"/>
    <x v="2"/>
    <n v="7000000"/>
    <n v="5"/>
  </r>
  <r>
    <s v="HR000338"/>
    <s v="Purwadi"/>
    <x v="1"/>
    <x v="3"/>
    <s v="Senior"/>
    <x v="1"/>
    <x v="1"/>
    <x v="1"/>
    <n v="15000000"/>
    <n v="4"/>
  </r>
  <r>
    <s v="HR000339"/>
    <s v="Purwanto"/>
    <x v="1"/>
    <x v="2"/>
    <s v="Senior"/>
    <x v="1"/>
    <x v="1"/>
    <x v="1"/>
    <n v="15000000"/>
    <n v="4"/>
  </r>
  <r>
    <s v="HR000340"/>
    <s v="Puspa Dewi"/>
    <x v="1"/>
    <x v="3"/>
    <s v="Staff"/>
    <x v="0"/>
    <x v="0"/>
    <x v="2"/>
    <n v="7000000"/>
    <n v="5"/>
  </r>
  <r>
    <s v="HR000341"/>
    <s v="Putri Marino"/>
    <x v="1"/>
    <x v="1"/>
    <s v="Staff"/>
    <x v="1"/>
    <x v="1"/>
    <x v="2"/>
    <n v="7000000"/>
    <n v="3"/>
  </r>
  <r>
    <s v="HR000342"/>
    <s v="Quraish Shihab"/>
    <x v="1"/>
    <x v="3"/>
    <s v="Manager"/>
    <x v="0"/>
    <x v="0"/>
    <x v="0"/>
    <n v="20000000"/>
    <n v="4"/>
  </r>
  <r>
    <s v="HR000343"/>
    <s v="Raden Saleh"/>
    <x v="1"/>
    <x v="2"/>
    <s v="Staff"/>
    <x v="1"/>
    <x v="1"/>
    <x v="2"/>
    <n v="7000000"/>
    <n v="5"/>
  </r>
  <r>
    <s v="HR000344"/>
    <s v="Raditya Dika"/>
    <x v="1"/>
    <x v="1"/>
    <s v="Manager"/>
    <x v="1"/>
    <x v="1"/>
    <x v="0"/>
    <n v="20000000"/>
    <n v="4"/>
  </r>
  <r>
    <s v="HR000345"/>
    <s v="Rffi Ahmad"/>
    <x v="0"/>
    <x v="3"/>
    <s v="Senior"/>
    <x v="0"/>
    <x v="0"/>
    <x v="1"/>
    <n v="15000000"/>
    <n v="3"/>
  </r>
  <r>
    <s v="HR000346"/>
    <s v="Rahmawati"/>
    <x v="0"/>
    <x v="0"/>
    <s v="Staff"/>
    <x v="0"/>
    <x v="1"/>
    <x v="2"/>
    <n v="7000000"/>
    <n v="4"/>
  </r>
  <r>
    <s v="HR000347"/>
    <s v="Raisa Andriana"/>
    <x v="1"/>
    <x v="4"/>
    <s v="Staff"/>
    <x v="1"/>
    <x v="0"/>
    <x v="2"/>
    <n v="7000000"/>
    <n v="3"/>
  </r>
  <r>
    <s v="HR000348"/>
    <s v="Raja Juli"/>
    <x v="1"/>
    <x v="0"/>
    <s v="Staff"/>
    <x v="1"/>
    <x v="1"/>
    <x v="2"/>
    <n v="7000000"/>
    <n v="5"/>
  </r>
  <r>
    <s v="HR000349"/>
    <s v="Rano Karno"/>
    <x v="1"/>
    <x v="3"/>
    <s v="Manager"/>
    <x v="0"/>
    <x v="0"/>
    <x v="0"/>
    <n v="20000000"/>
    <n v="4"/>
  </r>
  <r>
    <s v="HR000350"/>
    <s v="Ranty Maria"/>
    <x v="0"/>
    <x v="0"/>
    <s v="Manager"/>
    <x v="1"/>
    <x v="0"/>
    <x v="0"/>
    <n v="20000000"/>
    <n v="4"/>
  </r>
  <r>
    <s v="HR000351"/>
    <s v="Rasyid Bakri"/>
    <x v="1"/>
    <x v="0"/>
    <s v="Manager"/>
    <x v="1"/>
    <x v="0"/>
    <x v="0"/>
    <n v="20000000"/>
    <n v="3"/>
  </r>
  <r>
    <s v="HR000352"/>
    <s v="Ratna Sarumpaet"/>
    <x v="0"/>
    <x v="0"/>
    <s v="Staff"/>
    <x v="1"/>
    <x v="0"/>
    <x v="2"/>
    <n v="7000000"/>
    <n v="3"/>
  </r>
  <r>
    <s v="HR000353"/>
    <s v="Ratu Atut"/>
    <x v="0"/>
    <x v="0"/>
    <s v="Senior"/>
    <x v="0"/>
    <x v="1"/>
    <x v="1"/>
    <n v="15000000"/>
    <n v="4"/>
  </r>
  <r>
    <s v="HR000354"/>
    <s v="Ray Sahetapy"/>
    <x v="0"/>
    <x v="1"/>
    <s v="Manager"/>
    <x v="0"/>
    <x v="0"/>
    <x v="0"/>
    <n v="20000000"/>
    <n v="5"/>
  </r>
  <r>
    <s v="HR000355"/>
    <s v="Reza Rahadian"/>
    <x v="0"/>
    <x v="3"/>
    <s v="Manager"/>
    <x v="1"/>
    <x v="1"/>
    <x v="0"/>
    <n v="20000000"/>
    <n v="3"/>
  </r>
  <r>
    <s v="HR000356"/>
    <s v="Rhenald Kasali"/>
    <x v="1"/>
    <x v="1"/>
    <s v="Staff"/>
    <x v="0"/>
    <x v="1"/>
    <x v="2"/>
    <n v="7000000"/>
    <n v="3"/>
  </r>
  <r>
    <s v="HR000357"/>
    <s v="Ria Ricis"/>
    <x v="0"/>
    <x v="4"/>
    <s v="Staff"/>
    <x v="1"/>
    <x v="0"/>
    <x v="2"/>
    <n v="7000000"/>
    <n v="3"/>
  </r>
  <r>
    <s v="HR000358"/>
    <s v="Rian D'Masiv"/>
    <x v="0"/>
    <x v="4"/>
    <s v="Staff"/>
    <x v="0"/>
    <x v="0"/>
    <x v="2"/>
    <n v="7000000"/>
    <n v="3"/>
  </r>
  <r>
    <s v="HR000359"/>
    <s v="Richard Kyle"/>
    <x v="1"/>
    <x v="1"/>
    <s v="Manager"/>
    <x v="1"/>
    <x v="1"/>
    <x v="0"/>
    <n v="20000000"/>
    <n v="3"/>
  </r>
  <r>
    <s v="HR000360"/>
    <s v="Ridwan Kamil"/>
    <x v="1"/>
    <x v="0"/>
    <s v="Staff"/>
    <x v="0"/>
    <x v="1"/>
    <x v="2"/>
    <n v="7000000"/>
    <n v="3"/>
  </r>
  <r>
    <s v="HR000361"/>
    <s v="Rini Soemarno"/>
    <x v="1"/>
    <x v="3"/>
    <s v="Staff"/>
    <x v="0"/>
    <x v="1"/>
    <x v="2"/>
    <n v="7000000"/>
    <n v="3"/>
  </r>
  <r>
    <s v="HR000362"/>
    <s v="Rinto Harahap"/>
    <x v="1"/>
    <x v="4"/>
    <s v="Staff"/>
    <x v="0"/>
    <x v="0"/>
    <x v="2"/>
    <n v="7000000"/>
    <n v="5"/>
  </r>
  <r>
    <s v="HR000363"/>
    <s v="Rio Dewanto"/>
    <x v="1"/>
    <x v="2"/>
    <s v="Staff"/>
    <x v="1"/>
    <x v="0"/>
    <x v="2"/>
    <n v="7000000"/>
    <n v="4"/>
  </r>
  <r>
    <s v="HR000364"/>
    <s v="Riza Patria"/>
    <x v="0"/>
    <x v="4"/>
    <s v="Staff"/>
    <x v="1"/>
    <x v="0"/>
    <x v="2"/>
    <n v="7000000"/>
    <n v="3"/>
  </r>
  <r>
    <s v="HR000365"/>
    <s v="Rizky Billar"/>
    <x v="1"/>
    <x v="1"/>
    <s v="Senior"/>
    <x v="1"/>
    <x v="1"/>
    <x v="1"/>
    <n v="15000000"/>
    <n v="3"/>
  </r>
  <r>
    <s v="HR000366"/>
    <s v="Rizky Febian"/>
    <x v="1"/>
    <x v="2"/>
    <s v="Staff"/>
    <x v="0"/>
    <x v="0"/>
    <x v="2"/>
    <n v="7000000"/>
    <n v="4"/>
  </r>
  <r>
    <s v="HR000367"/>
    <s v="Roro Fitria"/>
    <x v="1"/>
    <x v="1"/>
    <s v="Manager"/>
    <x v="1"/>
    <x v="1"/>
    <x v="0"/>
    <n v="20000000"/>
    <n v="4"/>
  </r>
  <r>
    <s v="HR000368"/>
    <s v="Roy Marten"/>
    <x v="1"/>
    <x v="0"/>
    <s v="Senior"/>
    <x v="1"/>
    <x v="1"/>
    <x v="1"/>
    <n v="15000000"/>
    <n v="3"/>
  </r>
  <r>
    <s v="HR000369"/>
    <s v="Roy Suryo"/>
    <x v="1"/>
    <x v="4"/>
    <s v="Manager"/>
    <x v="0"/>
    <x v="1"/>
    <x v="0"/>
    <n v="20000000"/>
    <n v="3"/>
  </r>
  <r>
    <s v="HR000370"/>
    <s v="Rudiantara"/>
    <x v="1"/>
    <x v="3"/>
    <s v="Manager"/>
    <x v="1"/>
    <x v="0"/>
    <x v="0"/>
    <n v="20000000"/>
    <n v="5"/>
  </r>
  <r>
    <s v="HR000371"/>
    <s v="Rudy Hartono"/>
    <x v="0"/>
    <x v="4"/>
    <s v="Staff"/>
    <x v="0"/>
    <x v="1"/>
    <x v="2"/>
    <n v="7000000"/>
    <n v="4"/>
  </r>
  <r>
    <s v="HR000372"/>
    <s v="Ruhut Sitompul"/>
    <x v="1"/>
    <x v="3"/>
    <s v="Staff"/>
    <x v="0"/>
    <x v="0"/>
    <x v="2"/>
    <n v="7000000"/>
    <n v="3"/>
  </r>
  <r>
    <s v="HR000373"/>
    <s v="Rully Nere"/>
    <x v="1"/>
    <x v="1"/>
    <s v="Staff"/>
    <x v="1"/>
    <x v="0"/>
    <x v="2"/>
    <n v="7000000"/>
    <n v="3"/>
  </r>
  <r>
    <s v="HR000374"/>
    <s v="Rury Republik"/>
    <x v="1"/>
    <x v="2"/>
    <s v="Senior"/>
    <x v="0"/>
    <x v="1"/>
    <x v="1"/>
    <n v="15000000"/>
    <n v="5"/>
  </r>
  <r>
    <s v="HR000375"/>
    <s v="Rusdi Kirana"/>
    <x v="1"/>
    <x v="1"/>
    <s v="Manager"/>
    <x v="1"/>
    <x v="0"/>
    <x v="0"/>
    <n v="20000000"/>
    <n v="3"/>
  </r>
  <r>
    <s v="HR000376"/>
    <s v="Sabina Altynbekova"/>
    <x v="1"/>
    <x v="4"/>
    <s v="Senior"/>
    <x v="0"/>
    <x v="0"/>
    <x v="1"/>
    <n v="15000000"/>
    <n v="3"/>
  </r>
  <r>
    <s v="HR000377"/>
    <s v="Sahrul Gunawan"/>
    <x v="1"/>
    <x v="3"/>
    <s v="Manager"/>
    <x v="0"/>
    <x v="0"/>
    <x v="0"/>
    <n v="20000000"/>
    <n v="3"/>
  </r>
  <r>
    <s v="HR000378"/>
    <s v="Sandiaga Uno"/>
    <x v="0"/>
    <x v="3"/>
    <s v="Senior"/>
    <x v="0"/>
    <x v="1"/>
    <x v="1"/>
    <n v="15000000"/>
    <n v="4"/>
  </r>
  <r>
    <s v="HR000379"/>
    <s v="Sandra Dewi"/>
    <x v="0"/>
    <x v="2"/>
    <s v="Senior"/>
    <x v="0"/>
    <x v="0"/>
    <x v="1"/>
    <n v="15000000"/>
    <n v="5"/>
  </r>
  <r>
    <s v="HR000380"/>
    <s v="Sarah Sechan"/>
    <x v="0"/>
    <x v="1"/>
    <s v="Senior"/>
    <x v="1"/>
    <x v="1"/>
    <x v="1"/>
    <n v="15000000"/>
    <n v="4"/>
  </r>
  <r>
    <s v="HR000381"/>
    <s v="Sastro Wijaya"/>
    <x v="0"/>
    <x v="4"/>
    <s v="Manager"/>
    <x v="0"/>
    <x v="1"/>
    <x v="0"/>
    <n v="20000000"/>
    <n v="5"/>
  </r>
  <r>
    <s v="HR000382"/>
    <s v="Sayuti Melik"/>
    <x v="0"/>
    <x v="1"/>
    <s v="Manager"/>
    <x v="1"/>
    <x v="1"/>
    <x v="0"/>
    <n v="20000000"/>
    <n v="4"/>
  </r>
  <r>
    <s v="HR000383"/>
    <s v="Septian David"/>
    <x v="0"/>
    <x v="0"/>
    <s v="Staff"/>
    <x v="0"/>
    <x v="1"/>
    <x v="2"/>
    <n v="7000000"/>
    <n v="5"/>
  </r>
  <r>
    <s v="HR000384"/>
    <s v="Shafa Harris"/>
    <x v="0"/>
    <x v="3"/>
    <s v="Manager"/>
    <x v="0"/>
    <x v="1"/>
    <x v="0"/>
    <n v="20000000"/>
    <n v="5"/>
  </r>
  <r>
    <s v="HR000385"/>
    <s v="Shandy Aulia"/>
    <x v="0"/>
    <x v="1"/>
    <s v="Senior"/>
    <x v="0"/>
    <x v="0"/>
    <x v="1"/>
    <n v="15000000"/>
    <n v="4"/>
  </r>
  <r>
    <s v="HR000386"/>
    <s v="Shania Gracia"/>
    <x v="0"/>
    <x v="2"/>
    <s v="Senior"/>
    <x v="1"/>
    <x v="1"/>
    <x v="1"/>
    <n v="15000000"/>
    <n v="5"/>
  </r>
  <r>
    <s v="HR000387"/>
    <s v="Shareefa Daanish"/>
    <x v="1"/>
    <x v="4"/>
    <s v="Senior"/>
    <x v="1"/>
    <x v="0"/>
    <x v="1"/>
    <n v="15000000"/>
    <n v="4"/>
  </r>
  <r>
    <s v="HR000388"/>
    <s v="Sheila Dara"/>
    <x v="0"/>
    <x v="1"/>
    <s v="Manager"/>
    <x v="1"/>
    <x v="1"/>
    <x v="0"/>
    <n v="20000000"/>
    <n v="4"/>
  </r>
  <r>
    <s v="HR000389"/>
    <s v="Sheila On 7"/>
    <x v="0"/>
    <x v="4"/>
    <s v="Senior"/>
    <x v="1"/>
    <x v="0"/>
    <x v="1"/>
    <n v="15000000"/>
    <n v="4"/>
  </r>
  <r>
    <s v="HR000390"/>
    <s v="Sherina Munaf"/>
    <x v="0"/>
    <x v="4"/>
    <s v="Senior"/>
    <x v="0"/>
    <x v="1"/>
    <x v="1"/>
    <n v="15000000"/>
    <n v="4"/>
  </r>
  <r>
    <s v="HR000391"/>
    <s v="Sigit Purnomo"/>
    <x v="0"/>
    <x v="4"/>
    <s v="Staff"/>
    <x v="0"/>
    <x v="1"/>
    <x v="2"/>
    <n v="7000000"/>
    <n v="5"/>
  </r>
  <r>
    <s v="HR000392"/>
    <s v="Sinta Nuriyah"/>
    <x v="0"/>
    <x v="0"/>
    <s v="Senior"/>
    <x v="0"/>
    <x v="0"/>
    <x v="1"/>
    <n v="15000000"/>
    <n v="5"/>
  </r>
  <r>
    <s v="HR000393"/>
    <s v="Sinyo Aliandoe"/>
    <x v="0"/>
    <x v="1"/>
    <s v="Staff"/>
    <x v="1"/>
    <x v="1"/>
    <x v="2"/>
    <n v="7000000"/>
    <n v="5"/>
  </r>
  <r>
    <s v="HR000394"/>
    <s v="Siskaeee"/>
    <x v="0"/>
    <x v="2"/>
    <s v="Manager"/>
    <x v="1"/>
    <x v="1"/>
    <x v="0"/>
    <n v="20000000"/>
    <n v="5"/>
  </r>
  <r>
    <s v="HR000395"/>
    <s v="Sisca Kohl"/>
    <x v="0"/>
    <x v="1"/>
    <s v="Manager"/>
    <x v="0"/>
    <x v="0"/>
    <x v="0"/>
    <n v="20000000"/>
    <n v="4"/>
  </r>
  <r>
    <s v="HR000396"/>
    <s v="Siswono Yudo"/>
    <x v="0"/>
    <x v="4"/>
    <s v="Senior"/>
    <x v="0"/>
    <x v="1"/>
    <x v="1"/>
    <n v="15000000"/>
    <n v="3"/>
  </r>
  <r>
    <s v="HR000397"/>
    <s v="Siti Badriah"/>
    <x v="0"/>
    <x v="3"/>
    <s v="Senior"/>
    <x v="1"/>
    <x v="1"/>
    <x v="1"/>
    <n v="15000000"/>
    <n v="3"/>
  </r>
  <r>
    <s v="HR000398"/>
    <s v="Siti Fadjrijah"/>
    <x v="0"/>
    <x v="4"/>
    <s v="Manager"/>
    <x v="0"/>
    <x v="0"/>
    <x v="0"/>
    <n v="20000000"/>
    <n v="5"/>
  </r>
  <r>
    <s v="HR000399"/>
    <s v="Siti Hardiyanti"/>
    <x v="0"/>
    <x v="2"/>
    <s v="Manager"/>
    <x v="1"/>
    <x v="1"/>
    <x v="0"/>
    <n v="20000000"/>
    <n v="5"/>
  </r>
  <r>
    <s v="HR000400"/>
    <s v="Siti Rahmawati"/>
    <x v="0"/>
    <x v="2"/>
    <s v="Senior"/>
    <x v="0"/>
    <x v="1"/>
    <x v="1"/>
    <n v="15000000"/>
    <n v="3"/>
  </r>
  <r>
    <s v="HR000401"/>
    <s v="Siti Aminah"/>
    <x v="0"/>
    <x v="0"/>
    <s v="Staff"/>
    <x v="0"/>
    <x v="0"/>
    <x v="2"/>
    <n v="7000000"/>
    <n v="3"/>
  </r>
  <r>
    <s v="HR000402"/>
    <s v="Siti Aisyah"/>
    <x v="0"/>
    <x v="2"/>
    <s v="Staff"/>
    <x v="0"/>
    <x v="0"/>
    <x v="2"/>
    <n v="7000000"/>
    <n v="4"/>
  </r>
  <r>
    <s v="HR000403"/>
    <s v="Slamet Riyadi"/>
    <x v="0"/>
    <x v="0"/>
    <s v="Manager"/>
    <x v="1"/>
    <x v="0"/>
    <x v="0"/>
    <n v="20000000"/>
    <n v="5"/>
  </r>
  <r>
    <s v="HR000404"/>
    <s v="Sri Wahyuni"/>
    <x v="0"/>
    <x v="0"/>
    <s v="Senior"/>
    <x v="0"/>
    <x v="0"/>
    <x v="1"/>
    <n v="15000000"/>
    <n v="4"/>
  </r>
  <r>
    <s v="HR000405"/>
    <s v="Sri Mulyani"/>
    <x v="1"/>
    <x v="0"/>
    <s v="Senior"/>
    <x v="1"/>
    <x v="0"/>
    <x v="1"/>
    <n v="15000000"/>
    <n v="3"/>
  </r>
  <r>
    <s v="HR000406"/>
    <s v="Sri Utami"/>
    <x v="0"/>
    <x v="3"/>
    <s v="Senior"/>
    <x v="1"/>
    <x v="0"/>
    <x v="1"/>
    <n v="15000000"/>
    <n v="4"/>
  </r>
  <r>
    <s v="HR000407"/>
    <s v="Suci Rahmawati"/>
    <x v="0"/>
    <x v="2"/>
    <s v="Manager"/>
    <x v="0"/>
    <x v="1"/>
    <x v="0"/>
    <n v="20000000"/>
    <n v="3"/>
  </r>
  <r>
    <s v="HR000408"/>
    <s v="Sudirman Hadi"/>
    <x v="0"/>
    <x v="1"/>
    <s v="Senior"/>
    <x v="1"/>
    <x v="0"/>
    <x v="1"/>
    <n v="15000000"/>
    <n v="4"/>
  </r>
  <r>
    <s v="HR000409"/>
    <s v="Sugeng Priyono"/>
    <x v="0"/>
    <x v="1"/>
    <s v="Staff"/>
    <x v="0"/>
    <x v="0"/>
    <x v="2"/>
    <n v="7000000"/>
    <n v="3"/>
  </r>
  <r>
    <s v="HR000410"/>
    <s v="Suhartono"/>
    <x v="0"/>
    <x v="1"/>
    <s v="Manager"/>
    <x v="0"/>
    <x v="0"/>
    <x v="0"/>
    <n v="20000000"/>
    <n v="5"/>
  </r>
  <r>
    <s v="HR000411"/>
    <s v="Sukarno Putra"/>
    <x v="0"/>
    <x v="4"/>
    <s v="Senior"/>
    <x v="0"/>
    <x v="0"/>
    <x v="1"/>
    <n v="15000000"/>
    <n v="5"/>
  </r>
  <r>
    <s v="HR000412"/>
    <s v="Sulistyo"/>
    <x v="0"/>
    <x v="1"/>
    <s v="Staff"/>
    <x v="1"/>
    <x v="0"/>
    <x v="2"/>
    <n v="7000000"/>
    <n v="4"/>
  </r>
  <r>
    <s v="HR000413"/>
    <s v="Sumarni"/>
    <x v="0"/>
    <x v="2"/>
    <s v="Senior"/>
    <x v="0"/>
    <x v="0"/>
    <x v="1"/>
    <n v="15000000"/>
    <n v="4"/>
  </r>
  <r>
    <s v="HR000414"/>
    <s v="Sunarto"/>
    <x v="1"/>
    <x v="2"/>
    <s v="Senior"/>
    <x v="1"/>
    <x v="0"/>
    <x v="1"/>
    <n v="15000000"/>
    <n v="4"/>
  </r>
  <r>
    <s v="HR000415"/>
    <s v="Suparman"/>
    <x v="0"/>
    <x v="3"/>
    <s v="Staff"/>
    <x v="1"/>
    <x v="1"/>
    <x v="2"/>
    <n v="7000000"/>
    <n v="5"/>
  </r>
  <r>
    <s v="HR000416"/>
    <s v="Supriadi"/>
    <x v="0"/>
    <x v="3"/>
    <s v="Senior"/>
    <x v="1"/>
    <x v="0"/>
    <x v="1"/>
    <n v="15000000"/>
    <n v="5"/>
  </r>
  <r>
    <s v="HR000417"/>
    <s v="Supriyanto"/>
    <x v="0"/>
    <x v="0"/>
    <s v="Senior"/>
    <x v="1"/>
    <x v="0"/>
    <x v="1"/>
    <n v="15000000"/>
    <n v="4"/>
  </r>
  <r>
    <s v="HR000418"/>
    <s v="Surya Paloh"/>
    <x v="0"/>
    <x v="1"/>
    <s v="Senior"/>
    <x v="0"/>
    <x v="1"/>
    <x v="1"/>
    <n v="15000000"/>
    <n v="4"/>
  </r>
  <r>
    <s v="HR000419"/>
    <s v="Suryadi"/>
    <x v="0"/>
    <x v="4"/>
    <s v="Staff"/>
    <x v="1"/>
    <x v="0"/>
    <x v="2"/>
    <n v="7000000"/>
    <n v="5"/>
  </r>
  <r>
    <s v="HR000420"/>
    <s v="Susanti"/>
    <x v="0"/>
    <x v="4"/>
    <s v="Manager"/>
    <x v="1"/>
    <x v="0"/>
    <x v="0"/>
    <n v="20000000"/>
    <n v="3"/>
  </r>
  <r>
    <s v="HR000421"/>
    <s v="Susilo Bambang"/>
    <x v="0"/>
    <x v="4"/>
    <s v="Staff"/>
    <x v="1"/>
    <x v="0"/>
    <x v="2"/>
    <n v="7000000"/>
    <n v="5"/>
  </r>
  <r>
    <s v="HR000422"/>
    <s v="Susi Pudjiastuti"/>
    <x v="1"/>
    <x v="4"/>
    <s v="Staff"/>
    <x v="0"/>
    <x v="1"/>
    <x v="2"/>
    <n v="7000000"/>
    <n v="3"/>
  </r>
  <r>
    <s v="HR000423"/>
    <s v="Syahrul Yasin"/>
    <x v="1"/>
    <x v="3"/>
    <s v="Senior"/>
    <x v="1"/>
    <x v="0"/>
    <x v="1"/>
    <n v="15000000"/>
    <n v="3"/>
  </r>
  <r>
    <s v="HR000424"/>
    <s v="Syamsul Bahri"/>
    <x v="1"/>
    <x v="4"/>
    <s v="Senior"/>
    <x v="0"/>
    <x v="1"/>
    <x v="1"/>
    <n v="15000000"/>
    <n v="3"/>
  </r>
  <r>
    <s v="HR000425"/>
    <s v="Syarif Hidayatullah"/>
    <x v="0"/>
    <x v="4"/>
    <s v="Staff"/>
    <x v="1"/>
    <x v="1"/>
    <x v="2"/>
    <n v="7000000"/>
    <n v="5"/>
  </r>
  <r>
    <s v="HR000426"/>
    <s v="Tanti Lestari"/>
    <x v="0"/>
    <x v="3"/>
    <s v="Senior"/>
    <x v="0"/>
    <x v="1"/>
    <x v="1"/>
    <n v="15000000"/>
    <n v="3"/>
  </r>
  <r>
    <s v="HR000427"/>
    <s v="Tantowi Yahya"/>
    <x v="0"/>
    <x v="3"/>
    <s v="Manager"/>
    <x v="1"/>
    <x v="0"/>
    <x v="0"/>
    <n v="20000000"/>
    <n v="3"/>
  </r>
  <r>
    <s v="HR000428"/>
    <s v="Taufik Hidayat"/>
    <x v="0"/>
    <x v="3"/>
    <s v="Senior"/>
    <x v="0"/>
    <x v="1"/>
    <x v="1"/>
    <n v="15000000"/>
    <n v="5"/>
  </r>
  <r>
    <s v="HR000429"/>
    <s v="Taufiq Kiemas"/>
    <x v="0"/>
    <x v="3"/>
    <s v="Senior"/>
    <x v="1"/>
    <x v="1"/>
    <x v="1"/>
    <n v="15000000"/>
    <n v="4"/>
  </r>
  <r>
    <s v="HR000430"/>
    <s v="Teddy Indra"/>
    <x v="0"/>
    <x v="0"/>
    <s v="Manager"/>
    <x v="0"/>
    <x v="0"/>
    <x v="0"/>
    <n v="20000000"/>
    <n v="5"/>
  </r>
  <r>
    <s v="HR000431"/>
    <s v="Teguh Santoso"/>
    <x v="0"/>
    <x v="2"/>
    <s v="Staff"/>
    <x v="0"/>
    <x v="0"/>
    <x v="2"/>
    <n v="7000000"/>
    <n v="5"/>
  </r>
  <r>
    <s v="HR000432"/>
    <s v="Tengku Zulkarnain"/>
    <x v="0"/>
    <x v="4"/>
    <s v="Staff"/>
    <x v="1"/>
    <x v="1"/>
    <x v="2"/>
    <n v="7000000"/>
    <n v="5"/>
  </r>
  <r>
    <s v="HR000433"/>
    <s v="Thariq Halilintar"/>
    <x v="0"/>
    <x v="4"/>
    <s v="Staff"/>
    <x v="1"/>
    <x v="1"/>
    <x v="2"/>
    <n v="7000000"/>
    <n v="4"/>
  </r>
  <r>
    <s v="HR000434"/>
    <s v="Tika Bisono"/>
    <x v="0"/>
    <x v="1"/>
    <s v="Staff"/>
    <x v="0"/>
    <x v="1"/>
    <x v="2"/>
    <n v="7000000"/>
    <n v="3"/>
  </r>
  <r>
    <s v="HR000435"/>
    <s v="Tino Sidin"/>
    <x v="0"/>
    <x v="0"/>
    <s v="Manager"/>
    <x v="0"/>
    <x v="1"/>
    <x v="0"/>
    <n v="20000000"/>
    <n v="4"/>
  </r>
  <r>
    <s v="HR000436"/>
    <s v="Tio Pakusadewo"/>
    <x v="0"/>
    <x v="3"/>
    <s v="Staff"/>
    <x v="0"/>
    <x v="0"/>
    <x v="2"/>
    <n v="7000000"/>
    <n v="3"/>
  </r>
  <r>
    <s v="HR000437"/>
    <s v="Titi DJ"/>
    <x v="0"/>
    <x v="3"/>
    <s v="Staff"/>
    <x v="1"/>
    <x v="1"/>
    <x v="2"/>
    <n v="7000000"/>
    <n v="3"/>
  </r>
  <r>
    <s v="HR000438"/>
    <s v="Titi Kamal"/>
    <x v="0"/>
    <x v="0"/>
    <s v="Staff"/>
    <x v="1"/>
    <x v="1"/>
    <x v="2"/>
    <n v="7000000"/>
    <n v="3"/>
  </r>
  <r>
    <s v="HR000439"/>
    <s v="Titiek Puspa"/>
    <x v="1"/>
    <x v="2"/>
    <s v="Manager"/>
    <x v="0"/>
    <x v="0"/>
    <x v="0"/>
    <n v="20000000"/>
    <n v="4"/>
  </r>
  <r>
    <s v="HR000440"/>
    <s v="Tito Karnavian"/>
    <x v="0"/>
    <x v="4"/>
    <s v="Manager"/>
    <x v="0"/>
    <x v="0"/>
    <x v="0"/>
    <n v="20000000"/>
    <n v="4"/>
  </r>
  <r>
    <s v="HR000441"/>
    <s v="Tompi"/>
    <x v="1"/>
    <x v="4"/>
    <s v="Manager"/>
    <x v="1"/>
    <x v="1"/>
    <x v="0"/>
    <n v="20000000"/>
    <n v="3"/>
  </r>
  <r>
    <s v="HR000442"/>
    <s v="Tommy Soeharto"/>
    <x v="1"/>
    <x v="0"/>
    <s v="Senior"/>
    <x v="1"/>
    <x v="0"/>
    <x v="1"/>
    <n v="15000000"/>
    <n v="4"/>
  </r>
  <r>
    <s v="HR000443"/>
    <s v="Tri Rismaharini"/>
    <x v="1"/>
    <x v="3"/>
    <s v="Staff"/>
    <x v="0"/>
    <x v="1"/>
    <x v="2"/>
    <n v="7000000"/>
    <n v="3"/>
  </r>
  <r>
    <s v="HR000444"/>
    <s v="Tubagus Armand"/>
    <x v="0"/>
    <x v="1"/>
    <s v="Manager"/>
    <x v="0"/>
    <x v="0"/>
    <x v="0"/>
    <n v="20000000"/>
    <n v="3"/>
  </r>
  <r>
    <s v="HR000445"/>
    <s v="Tulus"/>
    <x v="1"/>
    <x v="3"/>
    <s v="Manager"/>
    <x v="1"/>
    <x v="1"/>
    <x v="0"/>
    <n v="20000000"/>
    <n v="3"/>
  </r>
  <r>
    <s v="HR000446"/>
    <s v="Uce Prasetyo"/>
    <x v="0"/>
    <x v="3"/>
    <s v="Manager"/>
    <x v="0"/>
    <x v="1"/>
    <x v="0"/>
    <n v="20000000"/>
    <n v="3"/>
  </r>
  <r>
    <s v="HR000447"/>
    <s v="Ujang Iskandar"/>
    <x v="1"/>
    <x v="3"/>
    <s v="Senior"/>
    <x v="0"/>
    <x v="1"/>
    <x v="1"/>
    <n v="15000000"/>
    <n v="5"/>
  </r>
  <r>
    <s v="HR000448"/>
    <s v="Umam Santoso"/>
    <x v="0"/>
    <x v="0"/>
    <s v="Manager"/>
    <x v="1"/>
    <x v="1"/>
    <x v="0"/>
    <n v="20000000"/>
    <n v="4"/>
  </r>
  <r>
    <s v="HR000449"/>
    <s v="Umar Patek"/>
    <x v="1"/>
    <x v="0"/>
    <s v="Senior"/>
    <x v="0"/>
    <x v="1"/>
    <x v="1"/>
    <n v="15000000"/>
    <n v="5"/>
  </r>
  <r>
    <s v="HR000450"/>
    <s v="Umi Pipik"/>
    <x v="1"/>
    <x v="2"/>
    <s v="Staff"/>
    <x v="1"/>
    <x v="0"/>
    <x v="2"/>
    <n v="7000000"/>
    <n v="3"/>
  </r>
  <r>
    <s v="HR000451"/>
    <s v="Unang Bagito"/>
    <x v="0"/>
    <x v="3"/>
    <s v="Senior"/>
    <x v="1"/>
    <x v="1"/>
    <x v="1"/>
    <n v="15000000"/>
    <n v="5"/>
  </r>
  <r>
    <s v="HR000452"/>
    <s v="Untung Surapati"/>
    <x v="1"/>
    <x v="4"/>
    <s v="Staff"/>
    <x v="1"/>
    <x v="1"/>
    <x v="2"/>
    <n v="7000000"/>
    <n v="5"/>
  </r>
  <r>
    <s v="HR000453"/>
    <s v="Uya Kuya"/>
    <x v="0"/>
    <x v="0"/>
    <s v="Manager"/>
    <x v="0"/>
    <x v="0"/>
    <x v="0"/>
    <n v="20000000"/>
    <n v="3"/>
  </r>
  <r>
    <s v="HR000454"/>
    <s v="Vadi Akbar"/>
    <x v="1"/>
    <x v="1"/>
    <s v="Manager"/>
    <x v="0"/>
    <x v="1"/>
    <x v="0"/>
    <n v="20000000"/>
    <n v="3"/>
  </r>
  <r>
    <s v="HR000455"/>
    <s v="Valentin"/>
    <x v="0"/>
    <x v="1"/>
    <s v="Manager"/>
    <x v="1"/>
    <x v="1"/>
    <x v="0"/>
    <n v="20000000"/>
    <n v="4"/>
  </r>
  <r>
    <s v="HR000456"/>
    <s v="Vanessa Angel"/>
    <x v="0"/>
    <x v="2"/>
    <s v="Staff"/>
    <x v="0"/>
    <x v="0"/>
    <x v="2"/>
    <n v="7000000"/>
    <n v="4"/>
  </r>
  <r>
    <s v="HR000457"/>
    <s v="Vebby Palwinta"/>
    <x v="0"/>
    <x v="3"/>
    <s v="Staff"/>
    <x v="1"/>
    <x v="1"/>
    <x v="2"/>
    <n v="7000000"/>
    <n v="5"/>
  </r>
  <r>
    <s v="HR000458"/>
    <s v="Vena Melinda"/>
    <x v="0"/>
    <x v="1"/>
    <s v="Staff"/>
    <x v="1"/>
    <x v="0"/>
    <x v="2"/>
    <n v="7000000"/>
    <n v="4"/>
  </r>
  <r>
    <s v="HR000459"/>
    <s v="Verrel Bramasta"/>
    <x v="0"/>
    <x v="3"/>
    <s v="Staff"/>
    <x v="1"/>
    <x v="1"/>
    <x v="2"/>
    <n v="7000000"/>
    <n v="3"/>
  </r>
  <r>
    <s v="HR000460"/>
    <s v="Vicky Prasetyo"/>
    <x v="0"/>
    <x v="1"/>
    <s v="Senior"/>
    <x v="0"/>
    <x v="1"/>
    <x v="1"/>
    <n v="15000000"/>
    <n v="4"/>
  </r>
  <r>
    <s v="HR000461"/>
    <s v="Vincent Rompies"/>
    <x v="0"/>
    <x v="2"/>
    <s v="Manager"/>
    <x v="0"/>
    <x v="1"/>
    <x v="0"/>
    <n v="20000000"/>
    <n v="4"/>
  </r>
  <r>
    <s v="HR000462"/>
    <s v="Viona Rosalina"/>
    <x v="1"/>
    <x v="4"/>
    <s v="Manager"/>
    <x v="1"/>
    <x v="0"/>
    <x v="0"/>
    <n v="20000000"/>
    <n v="4"/>
  </r>
  <r>
    <s v="HR000463"/>
    <s v="Virzha"/>
    <x v="1"/>
    <x v="2"/>
    <s v="Manager"/>
    <x v="0"/>
    <x v="0"/>
    <x v="0"/>
    <n v="20000000"/>
    <n v="5"/>
  </r>
  <r>
    <s v="HR000464"/>
    <s v="Vitalia Sesha"/>
    <x v="0"/>
    <x v="0"/>
    <s v="Manager"/>
    <x v="0"/>
    <x v="1"/>
    <x v="0"/>
    <n v="20000000"/>
    <n v="5"/>
  </r>
  <r>
    <s v="HR000465"/>
    <s v="Vonny Cornelia"/>
    <x v="1"/>
    <x v="1"/>
    <s v="Staff"/>
    <x v="1"/>
    <x v="1"/>
    <x v="2"/>
    <n v="7000000"/>
    <n v="4"/>
  </r>
  <r>
    <s v="HR000466"/>
    <s v="Wafda Saifan"/>
    <x v="0"/>
    <x v="2"/>
    <s v="Staff"/>
    <x v="1"/>
    <x v="0"/>
    <x v="2"/>
    <n v="7000000"/>
    <n v="5"/>
  </r>
  <r>
    <s v="HR000467"/>
    <s v="Wahyu Hidayat"/>
    <x v="1"/>
    <x v="1"/>
    <s v="Manager"/>
    <x v="0"/>
    <x v="1"/>
    <x v="0"/>
    <n v="20000000"/>
    <n v="4"/>
  </r>
  <r>
    <s v="HR000468"/>
    <s v="Waldjinah"/>
    <x v="0"/>
    <x v="1"/>
    <s v="Senior"/>
    <x v="0"/>
    <x v="1"/>
    <x v="1"/>
    <n v="15000000"/>
    <n v="5"/>
  </r>
  <r>
    <s v="HR000469"/>
    <s v="Wawan Setiawan"/>
    <x v="0"/>
    <x v="0"/>
    <s v="Senior"/>
    <x v="1"/>
    <x v="0"/>
    <x v="1"/>
    <n v="15000000"/>
    <n v="5"/>
  </r>
  <r>
    <s v="HR000470"/>
    <s v="Wenda Tan"/>
    <x v="1"/>
    <x v="2"/>
    <s v="Manager"/>
    <x v="0"/>
    <x v="1"/>
    <x v="0"/>
    <n v="20000000"/>
    <n v="3"/>
  </r>
  <r>
    <s v="HR000471"/>
    <s v="Wenty Ariyanti"/>
    <x v="1"/>
    <x v="1"/>
    <s v="Senior"/>
    <x v="1"/>
    <x v="0"/>
    <x v="1"/>
    <n v="15000000"/>
    <n v="4"/>
  </r>
  <r>
    <s v="HR000472"/>
    <s v="Wibowo Sukarno"/>
    <x v="1"/>
    <x v="4"/>
    <s v="Senior"/>
    <x v="0"/>
    <x v="1"/>
    <x v="1"/>
    <n v="15000000"/>
    <n v="4"/>
  </r>
  <r>
    <s v="HR000473"/>
    <s v="Widi Mulia"/>
    <x v="0"/>
    <x v="3"/>
    <s v="Staff"/>
    <x v="1"/>
    <x v="1"/>
    <x v="2"/>
    <n v="7000000"/>
    <n v="3"/>
  </r>
  <r>
    <s v="HR000474"/>
    <s v="Widya Lestari"/>
    <x v="0"/>
    <x v="2"/>
    <s v="Staff"/>
    <x v="0"/>
    <x v="0"/>
    <x v="2"/>
    <n v="7000000"/>
    <n v="5"/>
  </r>
  <r>
    <s v="HR000475"/>
    <s v="Wijaya Saputra"/>
    <x v="0"/>
    <x v="1"/>
    <s v="Senior"/>
    <x v="0"/>
    <x v="0"/>
    <x v="1"/>
    <n v="15000000"/>
    <n v="5"/>
  </r>
  <r>
    <s v="HR000476"/>
    <s v="Wika Salim"/>
    <x v="1"/>
    <x v="2"/>
    <s v="Manager"/>
    <x v="0"/>
    <x v="1"/>
    <x v="0"/>
    <n v="20000000"/>
    <n v="4"/>
  </r>
  <r>
    <s v="HR000477"/>
    <s v="Winky Wiryawan"/>
    <x v="1"/>
    <x v="0"/>
    <s v="Senior"/>
    <x v="0"/>
    <x v="1"/>
    <x v="1"/>
    <n v="15000000"/>
    <n v="4"/>
  </r>
  <r>
    <s v="HR000478"/>
    <s v="Winona Willy"/>
    <x v="0"/>
    <x v="3"/>
    <s v="Staff"/>
    <x v="1"/>
    <x v="1"/>
    <x v="2"/>
    <n v="7000000"/>
    <n v="3"/>
  </r>
  <r>
    <s v="HR000479"/>
    <s v="Wira Nagara"/>
    <x v="0"/>
    <x v="2"/>
    <s v="Manager"/>
    <x v="1"/>
    <x v="1"/>
    <x v="0"/>
    <n v="20000000"/>
    <n v="3"/>
  </r>
  <r>
    <s v="HR000480"/>
    <s v="Wiranto"/>
    <x v="0"/>
    <x v="2"/>
    <s v="Staff"/>
    <x v="0"/>
    <x v="0"/>
    <x v="2"/>
    <n v="7000000"/>
    <n v="3"/>
  </r>
  <r>
    <s v="HR000481"/>
    <s v="Wulan Guritno"/>
    <x v="1"/>
    <x v="1"/>
    <s v="Manager"/>
    <x v="1"/>
    <x v="0"/>
    <x v="0"/>
    <n v="20000000"/>
    <n v="5"/>
  </r>
  <r>
    <s v="HR000482"/>
    <s v="Yadi Sembako"/>
    <x v="1"/>
    <x v="2"/>
    <s v="Manager"/>
    <x v="1"/>
    <x v="1"/>
    <x v="0"/>
    <n v="20000000"/>
    <n v="3"/>
  </r>
  <r>
    <s v="HR000483"/>
    <s v="Yanni Libels"/>
    <x v="0"/>
    <x v="0"/>
    <s v="Manager"/>
    <x v="1"/>
    <x v="1"/>
    <x v="0"/>
    <n v="20000000"/>
    <n v="4"/>
  </r>
  <r>
    <s v="HR000484"/>
    <s v="Yanto Basna"/>
    <x v="1"/>
    <x v="0"/>
    <s v="Staff"/>
    <x v="0"/>
    <x v="1"/>
    <x v="2"/>
    <n v="7000000"/>
    <n v="4"/>
  </r>
  <r>
    <s v="HR000485"/>
    <s v="Yati Octavia"/>
    <x v="0"/>
    <x v="2"/>
    <s v="Manager"/>
    <x v="1"/>
    <x v="0"/>
    <x v="0"/>
    <n v="20000000"/>
    <n v="3"/>
  </r>
  <r>
    <s v="HR000486"/>
    <s v="Yayan Ruhian"/>
    <x v="1"/>
    <x v="0"/>
    <s v="Staff"/>
    <x v="1"/>
    <x v="0"/>
    <x v="2"/>
    <n v="7000000"/>
    <n v="4"/>
  </r>
  <r>
    <s v="HR000487"/>
    <s v="Yenny Wahid"/>
    <x v="0"/>
    <x v="1"/>
    <s v="Staff"/>
    <x v="0"/>
    <x v="0"/>
    <x v="2"/>
    <n v="7000000"/>
    <n v="3"/>
  </r>
  <r>
    <s v="HR000488"/>
    <s v="Yessy Gusman"/>
    <x v="0"/>
    <x v="1"/>
    <s v="Senior"/>
    <x v="0"/>
    <x v="1"/>
    <x v="1"/>
    <n v="15000000"/>
    <n v="3"/>
  </r>
  <r>
    <s v="HR000489"/>
    <s v="Yovie Widianto"/>
    <x v="0"/>
    <x v="4"/>
    <s v="Staff"/>
    <x v="0"/>
    <x v="0"/>
    <x v="2"/>
    <n v="7000000"/>
    <n v="5"/>
  </r>
  <r>
    <s v="HR000490"/>
    <s v="Yuda Pratama"/>
    <x v="1"/>
    <x v="3"/>
    <s v="Manager"/>
    <x v="1"/>
    <x v="0"/>
    <x v="0"/>
    <n v="20000000"/>
    <n v="3"/>
  </r>
  <r>
    <s v="HR000491"/>
    <s v="Yuni Shara"/>
    <x v="1"/>
    <x v="1"/>
    <s v="Senior"/>
    <x v="1"/>
    <x v="1"/>
    <x v="1"/>
    <n v="15000000"/>
    <n v="5"/>
  </r>
  <r>
    <s v="HR000492"/>
    <s v="Yurike Sanger"/>
    <x v="0"/>
    <x v="2"/>
    <s v="Staff"/>
    <x v="0"/>
    <x v="0"/>
    <x v="2"/>
    <n v="7000000"/>
    <n v="5"/>
  </r>
  <r>
    <s v="HR000493"/>
    <s v="Yusril Ihza"/>
    <x v="0"/>
    <x v="2"/>
    <s v="Senior"/>
    <x v="1"/>
    <x v="1"/>
    <x v="1"/>
    <n v="15000000"/>
    <n v="5"/>
  </r>
  <r>
    <s v="HR000494"/>
    <s v="Yustinus Prastowo"/>
    <x v="0"/>
    <x v="0"/>
    <s v="Senior"/>
    <x v="1"/>
    <x v="1"/>
    <x v="1"/>
    <n v="15000000"/>
    <n v="3"/>
  </r>
  <r>
    <s v="HR000495"/>
    <s v="Zaskia Adya"/>
    <x v="1"/>
    <x v="2"/>
    <s v="Staff"/>
    <x v="0"/>
    <x v="0"/>
    <x v="2"/>
    <n v="7000000"/>
    <n v="4"/>
  </r>
  <r>
    <s v="HR000496"/>
    <s v="Zaskia Sungkar"/>
    <x v="1"/>
    <x v="0"/>
    <s v="Senior"/>
    <x v="0"/>
    <x v="1"/>
    <x v="1"/>
    <n v="15000000"/>
    <n v="5"/>
  </r>
  <r>
    <s v="HR000497"/>
    <s v="Zikri Daulay"/>
    <x v="0"/>
    <x v="1"/>
    <s v="Senior"/>
    <x v="0"/>
    <x v="1"/>
    <x v="1"/>
    <n v="15000000"/>
    <n v="3"/>
  </r>
  <r>
    <s v="HR000498"/>
    <s v="Ziva Magnolya"/>
    <x v="1"/>
    <x v="1"/>
    <s v="Staff"/>
    <x v="1"/>
    <x v="0"/>
    <x v="2"/>
    <n v="7000000"/>
    <n v="4"/>
  </r>
  <r>
    <s v="HR000499"/>
    <s v="Zulkifli Hasan"/>
    <x v="0"/>
    <x v="2"/>
    <s v="Staff"/>
    <x v="0"/>
    <x v="0"/>
    <x v="2"/>
    <n v="7000000"/>
    <n v="5"/>
  </r>
  <r>
    <s v="HR000500"/>
    <s v="Hassanudin Noor"/>
    <x v="0"/>
    <x v="4"/>
    <s v="Manager"/>
    <x v="0"/>
    <x v="0"/>
    <x v="0"/>
    <n v="20000000"/>
    <n v="5"/>
  </r>
  <r>
    <s v="HR000501"/>
    <s v="Amirudin"/>
    <x v="0"/>
    <x v="4"/>
    <s v="Manager"/>
    <x v="0"/>
    <x v="0"/>
    <x v="0"/>
    <n v="20000000"/>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F7DE34-629C-4459-845C-2C2165F2B58B}" name="Pivot_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4:B37" firstHeaderRow="1" firstDataRow="1" firstDataCol="1" rowPageCount="1" colPageCount="1"/>
  <pivotFields count="10">
    <pivotField dataField="1" showAll="0"/>
    <pivotField showAll="0"/>
    <pivotField axis="axisRow" showAll="0">
      <items count="3">
        <item x="0"/>
        <item x="1"/>
        <item t="default"/>
      </items>
    </pivotField>
    <pivotField showAll="0">
      <items count="6">
        <item x="2"/>
        <item x="0"/>
        <item x="4"/>
        <item x="3"/>
        <item x="1"/>
        <item t="default"/>
      </items>
    </pivotField>
    <pivotField showAll="0"/>
    <pivotField showAll="0">
      <items count="3">
        <item x="0"/>
        <item x="1"/>
        <item t="default"/>
      </items>
    </pivotField>
    <pivotField axis="axisPage" showAll="0">
      <items count="3">
        <item x="0"/>
        <item x="1"/>
        <item t="default"/>
      </items>
    </pivotField>
    <pivotField showAll="0"/>
    <pivotField numFmtId="164" showAll="0"/>
    <pivotField showAll="0"/>
  </pivotFields>
  <rowFields count="1">
    <field x="2"/>
  </rowFields>
  <rowItems count="3">
    <i>
      <x/>
    </i>
    <i>
      <x v="1"/>
    </i>
    <i t="grand">
      <x/>
    </i>
  </rowItems>
  <colItems count="1">
    <i/>
  </colItems>
  <pageFields count="1">
    <pageField fld="6" item="0" hier="-1"/>
  </pageFields>
  <dataFields count="1">
    <dataField name="Count of ID Karyawan (e.g., HR001, HR002)" fld="0" subtotal="count" baseField="0" baseItem="0"/>
  </dataFields>
  <chartFormats count="9">
    <chartFormat chart="18" format="1" series="1">
      <pivotArea type="data" outline="0" fieldPosition="0">
        <references count="1">
          <reference field="4294967294" count="1" selected="0">
            <x v="0"/>
          </reference>
        </references>
      </pivotArea>
    </chartFormat>
    <chartFormat chart="18" format="2">
      <pivotArea type="data" outline="0" fieldPosition="0">
        <references count="2">
          <reference field="4294967294" count="1" selected="0">
            <x v="0"/>
          </reference>
          <reference field="2" count="1" selected="0">
            <x v="0"/>
          </reference>
        </references>
      </pivotArea>
    </chartFormat>
    <chartFormat chart="18" format="3">
      <pivotArea type="data" outline="0" fieldPosition="0">
        <references count="2">
          <reference field="4294967294" count="1" selected="0">
            <x v="0"/>
          </reference>
          <reference field="2"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2" count="1" selected="0">
            <x v="0"/>
          </reference>
        </references>
      </pivotArea>
    </chartFormat>
    <chartFormat chart="19" format="6">
      <pivotArea type="data" outline="0" fieldPosition="0">
        <references count="2">
          <reference field="4294967294" count="1" selected="0">
            <x v="0"/>
          </reference>
          <reference field="2"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2" count="1" selected="0">
            <x v="0"/>
          </reference>
        </references>
      </pivotArea>
    </chartFormat>
    <chartFormat chart="20"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90F39A-C6D6-4C06-AEF2-BD3521CF02BF}" name="Pivot_CurrentHead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rowPageCount="1" colPageCount="1"/>
  <pivotFields count="10">
    <pivotField dataField="1" showAll="0"/>
    <pivotField showAll="0"/>
    <pivotField showAll="0">
      <items count="3">
        <item x="0"/>
        <item x="1"/>
        <item t="default"/>
      </items>
    </pivotField>
    <pivotField showAll="0">
      <items count="6">
        <item x="2"/>
        <item x="0"/>
        <item x="4"/>
        <item x="3"/>
        <item x="1"/>
        <item t="default"/>
      </items>
    </pivotField>
    <pivotField showAll="0"/>
    <pivotField showAll="0">
      <items count="3">
        <item x="0"/>
        <item x="1"/>
        <item t="default"/>
      </items>
    </pivotField>
    <pivotField axis="axisPage" showAll="0">
      <items count="3">
        <item x="0"/>
        <item x="1"/>
        <item t="default"/>
      </items>
    </pivotField>
    <pivotField showAll="0"/>
    <pivotField numFmtId="164" showAll="0"/>
    <pivotField showAll="0"/>
  </pivotFields>
  <rowItems count="1">
    <i/>
  </rowItems>
  <colItems count="1">
    <i/>
  </colItems>
  <pageFields count="1">
    <pageField fld="6" item="0" hier="-1"/>
  </pageFields>
  <dataFields count="1">
    <dataField name="Count of ID Karyawan (e.g., HR001, HR002)"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61F563-393F-42D0-BCCD-08DF41DA6264}" name="Pivot_AverageSall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50:B56" firstHeaderRow="1" firstDataRow="1" firstDataCol="1" rowPageCount="1" colPageCount="1"/>
  <pivotFields count="10">
    <pivotField showAll="0"/>
    <pivotField showAll="0"/>
    <pivotField showAll="0">
      <items count="3">
        <item x="0"/>
        <item x="1"/>
        <item t="default"/>
      </items>
    </pivotField>
    <pivotField axis="axisRow" showAll="0" sortType="descending">
      <items count="6">
        <item x="1"/>
        <item x="3"/>
        <item x="4"/>
        <item x="0"/>
        <item x="2"/>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axis="axisPage" showAll="0">
      <items count="3">
        <item x="0"/>
        <item x="1"/>
        <item t="default"/>
      </items>
    </pivotField>
    <pivotField showAll="0"/>
    <pivotField dataField="1" numFmtId="164" showAll="0"/>
    <pivotField showAll="0"/>
  </pivotFields>
  <rowFields count="1">
    <field x="3"/>
  </rowFields>
  <rowItems count="6">
    <i>
      <x v="1"/>
    </i>
    <i>
      <x v="3"/>
    </i>
    <i>
      <x/>
    </i>
    <i>
      <x v="2"/>
    </i>
    <i>
      <x v="4"/>
    </i>
    <i t="grand">
      <x/>
    </i>
  </rowItems>
  <colItems count="1">
    <i/>
  </colItems>
  <pageFields count="1">
    <pageField fld="6" item="0" hier="-1"/>
  </pageFields>
  <dataFields count="1">
    <dataField name="Average of Gaji Bulanan" fld="8" subtotal="average" baseField="3" baseItem="0" numFmtId="164"/>
  </dataFields>
  <chartFormats count="3">
    <chartFormat chart="8"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72118E-7FB2-4972-B082-E9D493876443}" name="Pivot_MonthlyPayrol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rowPageCount="1" colPageCount="1"/>
  <pivotFields count="10">
    <pivotField showAll="0"/>
    <pivotField showAll="0"/>
    <pivotField showAll="0">
      <items count="3">
        <item x="0"/>
        <item x="1"/>
        <item t="default"/>
      </items>
    </pivotField>
    <pivotField showAll="0">
      <items count="6">
        <item x="2"/>
        <item x="0"/>
        <item x="4"/>
        <item x="3"/>
        <item x="1"/>
        <item t="default"/>
      </items>
    </pivotField>
    <pivotField showAll="0"/>
    <pivotField showAll="0">
      <items count="3">
        <item x="0"/>
        <item x="1"/>
        <item t="default"/>
      </items>
    </pivotField>
    <pivotField axis="axisPage" showAll="0">
      <items count="3">
        <item x="0"/>
        <item x="1"/>
        <item t="default"/>
      </items>
    </pivotField>
    <pivotField showAll="0"/>
    <pivotField dataField="1" numFmtId="164" showAll="0"/>
    <pivotField showAll="0"/>
  </pivotFields>
  <rowItems count="1">
    <i/>
  </rowItems>
  <colItems count="1">
    <i/>
  </colItems>
  <pageFields count="1">
    <pageField fld="6" item="0" hier="-1"/>
  </pageFields>
  <dataFields count="1">
    <dataField name="Sum of Gaji Bulanan" fld="8" baseField="0" baseItem="0" numFmtId="165"/>
  </dataFields>
  <formats count="2">
    <format dxfId="1">
      <pivotArea outline="0" collapsedLevelsAreSubtotals="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172636-026A-446F-81EB-121F9F00E41C}" name="Pivot_Resign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rowPageCount="1" colPageCount="1"/>
  <pivotFields count="10">
    <pivotField dataField="1" showAll="0"/>
    <pivotField showAll="0"/>
    <pivotField showAll="0">
      <items count="3">
        <item x="0"/>
        <item x="1"/>
        <item t="default"/>
      </items>
    </pivotField>
    <pivotField showAll="0">
      <items count="6">
        <item x="2"/>
        <item x="0"/>
        <item x="4"/>
        <item x="3"/>
        <item x="1"/>
        <item t="default"/>
      </items>
    </pivotField>
    <pivotField showAll="0"/>
    <pivotField showAll="0">
      <items count="3">
        <item x="0"/>
        <item x="1"/>
        <item t="default"/>
      </items>
    </pivotField>
    <pivotField axis="axisPage" showAll="0">
      <items count="3">
        <item x="0"/>
        <item x="1"/>
        <item t="default"/>
      </items>
    </pivotField>
    <pivotField showAll="0"/>
    <pivotField numFmtId="164" showAll="0"/>
    <pivotField showAll="0"/>
  </pivotFields>
  <rowItems count="1">
    <i/>
  </rowItems>
  <colItems count="1">
    <i/>
  </colItems>
  <pageFields count="1">
    <pageField fld="6" item="1" hier="-1"/>
  </pageFields>
  <dataFields count="1">
    <dataField name="Count of ID Karyawan (e.g., HR001, HR002)"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D4F154-8ABF-4FB5-91F9-EF125BBC7B83}" name="Pivot_Average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60:B66" firstHeaderRow="1" firstDataRow="1" firstDataCol="1" rowPageCount="1" colPageCount="1"/>
  <pivotFields count="10">
    <pivotField showAll="0"/>
    <pivotField showAll="0"/>
    <pivotField showAll="0">
      <items count="3">
        <item x="0"/>
        <item x="1"/>
        <item t="default"/>
      </items>
    </pivotField>
    <pivotField axis="axisRow" showAll="0" sortType="descending">
      <items count="6">
        <item x="1"/>
        <item x="3"/>
        <item x="4"/>
        <item x="0"/>
        <item x="2"/>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axis="axisPage" showAll="0">
      <items count="3">
        <item x="0"/>
        <item x="1"/>
        <item t="default"/>
      </items>
    </pivotField>
    <pivotField showAll="0"/>
    <pivotField numFmtId="164" showAll="0"/>
    <pivotField dataField="1" showAll="0"/>
  </pivotFields>
  <rowFields count="1">
    <field x="3"/>
  </rowFields>
  <rowItems count="6">
    <i>
      <x v="4"/>
    </i>
    <i>
      <x v="2"/>
    </i>
    <i>
      <x/>
    </i>
    <i>
      <x v="1"/>
    </i>
    <i>
      <x v="3"/>
    </i>
    <i t="grand">
      <x/>
    </i>
  </rowItems>
  <colItems count="1">
    <i/>
  </colItems>
  <pageFields count="1">
    <pageField fld="6" item="0" hier="-1"/>
  </pageFields>
  <dataFields count="1">
    <dataField name="Average of Rating Performa (1 sampai 5)" fld="9" subtotal="average" baseField="3" baseItem="0"/>
  </dataFields>
  <formats count="2">
    <format dxfId="3">
      <pivotArea collapsedLevelsAreSubtotals="1" fieldPosition="0">
        <references count="1">
          <reference field="3" count="0"/>
        </references>
      </pivotArea>
    </format>
    <format dxfId="2">
      <pivotArea grandRow="1" outline="0" collapsedLevelsAreSubtotals="1" fieldPosition="0"/>
    </format>
  </formats>
  <chartFormats count="2">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B92BF0-CA5E-45C6-8068-0F823CDB1ABB}" name="Pivot_StatusEmply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43:B46" firstHeaderRow="1" firstDataRow="1" firstDataCol="1" rowPageCount="1" colPageCount="1"/>
  <pivotFields count="10">
    <pivotField dataField="1" showAll="0"/>
    <pivotField showAll="0"/>
    <pivotField showAll="0">
      <items count="3">
        <item x="0"/>
        <item x="1"/>
        <item t="default"/>
      </items>
    </pivotField>
    <pivotField showAll="0">
      <items count="6">
        <item x="2"/>
        <item x="0"/>
        <item x="4"/>
        <item x="3"/>
        <item x="1"/>
        <item t="default"/>
      </items>
    </pivotField>
    <pivotField showAll="0"/>
    <pivotField axis="axisRow" showAll="0">
      <items count="3">
        <item x="0"/>
        <item x="1"/>
        <item t="default"/>
      </items>
    </pivotField>
    <pivotField axis="axisPage" showAll="0">
      <items count="3">
        <item x="0"/>
        <item x="1"/>
        <item t="default"/>
      </items>
    </pivotField>
    <pivotField showAll="0"/>
    <pivotField numFmtId="164" showAll="0"/>
    <pivotField showAll="0"/>
  </pivotFields>
  <rowFields count="1">
    <field x="5"/>
  </rowFields>
  <rowItems count="3">
    <i>
      <x/>
    </i>
    <i>
      <x v="1"/>
    </i>
    <i t="grand">
      <x/>
    </i>
  </rowItems>
  <colItems count="1">
    <i/>
  </colItems>
  <pageFields count="1">
    <pageField fld="6" item="0" hier="-1"/>
  </pageFields>
  <dataFields count="1">
    <dataField name="Count of ID Karyawan (e.g., HR001, HR002)" fld="0" subtotal="count" baseField="0" baseItem="0"/>
  </dataFields>
  <chartFormats count="3">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5" count="1" selected="0">
            <x v="0"/>
          </reference>
        </references>
      </pivotArea>
    </chartFormat>
    <chartFormat chart="14"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12326C1-5614-4883-B585-171FA235C5CC}" name="Pivot_AktifDeprt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24:B30" firstHeaderRow="1" firstDataRow="1" firstDataCol="1" rowPageCount="1" colPageCount="1"/>
  <pivotFields count="10">
    <pivotField dataField="1" showAll="0"/>
    <pivotField showAll="0"/>
    <pivotField showAll="0">
      <items count="3">
        <item x="0"/>
        <item x="1"/>
        <item t="default"/>
      </items>
    </pivotField>
    <pivotField axis="axisRow" showAll="0" sortType="descending">
      <items count="6">
        <item x="2"/>
        <item x="0"/>
        <item x="4"/>
        <item x="3"/>
        <item x="1"/>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axis="axisPage" showAll="0">
      <items count="3">
        <item x="0"/>
        <item x="1"/>
        <item t="default"/>
      </items>
    </pivotField>
    <pivotField showAll="0"/>
    <pivotField numFmtId="164" showAll="0"/>
    <pivotField showAll="0"/>
  </pivotFields>
  <rowFields count="1">
    <field x="3"/>
  </rowFields>
  <rowItems count="6">
    <i>
      <x/>
    </i>
    <i>
      <x v="2"/>
    </i>
    <i>
      <x v="4"/>
    </i>
    <i>
      <x v="3"/>
    </i>
    <i>
      <x v="1"/>
    </i>
    <i t="grand">
      <x/>
    </i>
  </rowItems>
  <colItems count="1">
    <i/>
  </colItems>
  <pageFields count="1">
    <pageField fld="6" item="0" hier="-1"/>
  </pageFields>
  <dataFields count="1">
    <dataField name="Count of ID Karyawan (e.g., HR001, HR002)" fld="0" subtotal="count" baseField="0" baseItem="0"/>
  </dataFields>
  <chartFormats count="3">
    <chartFormat chart="23"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7" format="3">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32B27D0-4D2B-4FD1-89B5-C9C621616B46}" name="Pivot_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A19" firstHeaderRow="1" firstDataRow="1" firstDataCol="0" rowPageCount="1" colPageCount="1"/>
  <pivotFields count="10">
    <pivotField showAll="0"/>
    <pivotField showAll="0"/>
    <pivotField showAll="0">
      <items count="3">
        <item x="0"/>
        <item x="1"/>
        <item t="default"/>
      </items>
    </pivotField>
    <pivotField showAll="0">
      <items count="6">
        <item x="2"/>
        <item x="0"/>
        <item x="4"/>
        <item x="3"/>
        <item x="1"/>
        <item t="default"/>
      </items>
    </pivotField>
    <pivotField showAll="0"/>
    <pivotField showAll="0">
      <items count="3">
        <item x="0"/>
        <item x="1"/>
        <item t="default"/>
      </items>
    </pivotField>
    <pivotField axis="axisPage" showAll="0">
      <items count="3">
        <item x="0"/>
        <item x="1"/>
        <item t="default"/>
      </items>
    </pivotField>
    <pivotField showAll="0"/>
    <pivotField numFmtId="164" showAll="0"/>
    <pivotField dataField="1" showAll="0"/>
  </pivotFields>
  <rowItems count="1">
    <i/>
  </rowItems>
  <colItems count="1">
    <i/>
  </colItems>
  <pageFields count="1">
    <pageField fld="6" item="0" hier="-1"/>
  </pageFields>
  <dataFields count="1">
    <dataField name="Average of Rating Performa (1 sampai 5)" fld="9" subtotal="average" baseField="0" baseItem="0" numFmtId="2"/>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00B1A0A-46CA-4AC1-8CEF-87A90ABFAFC0}" name="Pivot_MasaKerja"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70:B74" firstHeaderRow="1" firstDataRow="1" firstDataCol="1" rowPageCount="1" colPageCount="1"/>
  <pivotFields count="10">
    <pivotField dataField="1" showAll="0"/>
    <pivotField showAll="0"/>
    <pivotField showAll="0">
      <items count="3">
        <item x="0"/>
        <item x="1"/>
        <item t="default"/>
      </items>
    </pivotField>
    <pivotField showAll="0">
      <items count="6">
        <item x="2"/>
        <item x="0"/>
        <item x="4"/>
        <item x="3"/>
        <item x="1"/>
        <item t="default"/>
      </items>
    </pivotField>
    <pivotField showAll="0"/>
    <pivotField showAll="0">
      <items count="3">
        <item x="0"/>
        <item x="1"/>
        <item t="default"/>
      </items>
    </pivotField>
    <pivotField axis="axisPage" showAll="0">
      <items count="3">
        <item x="0"/>
        <item x="1"/>
        <item t="default"/>
      </items>
    </pivotField>
    <pivotField axis="axisRow" showAll="0">
      <items count="4">
        <item x="0"/>
        <item x="2"/>
        <item x="1"/>
        <item t="default"/>
      </items>
    </pivotField>
    <pivotField numFmtId="164" showAll="0"/>
    <pivotField showAll="0"/>
  </pivotFields>
  <rowFields count="1">
    <field x="7"/>
  </rowFields>
  <rowItems count="4">
    <i>
      <x/>
    </i>
    <i>
      <x v="1"/>
    </i>
    <i>
      <x v="2"/>
    </i>
    <i t="grand">
      <x/>
    </i>
  </rowItems>
  <colItems count="1">
    <i/>
  </colItems>
  <pageFields count="1">
    <pageField fld="6" item="0" hier="-1"/>
  </pageFields>
  <dataFields count="1">
    <dataField name="Count of ID Karyawan (e.g., HR001, HR002)" fld="0" subtotal="count" baseField="0" baseItem="0"/>
  </dataFields>
  <chartFormats count="2">
    <chartFormat chart="3" format="3"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enis_Kelamin__Laki_laki___Perempuan" xr10:uid="{D895415A-44BD-4BDB-9936-5622DC906E2E}" sourceName="Jenis Kelamin (Laki-laki / Perempuan)">
  <pivotTables>
    <pivotTable tabId="5" name="Pivot_CurrentHeadcount"/>
    <pivotTable tabId="5" name="Pivot_AveragePerformance"/>
    <pivotTable tabId="5" name="Pivot_AverageSallary"/>
    <pivotTable tabId="5" name="Pivot_Gender"/>
    <pivotTable tabId="5" name="Pivot_MasaKerja"/>
    <pivotTable tabId="5" name="Pivot_MonthlyPayroll"/>
    <pivotTable tabId="5" name="Pivot_Performance"/>
    <pivotTable tabId="5" name="Pivot_Resigned"/>
    <pivotTable tabId="5" name="Pivot_StatusEmplyment"/>
    <pivotTable tabId="5" name="Pivot_AktifDeprtment"/>
  </pivotTables>
  <data>
    <tabular pivotCacheId="80179968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emen__Sales__IT__HR__Marketing__Finance" xr10:uid="{84593661-DE97-40ED-8B6C-C1CF10C5F443}" sourceName="Departemen (Sales, IT, HR, Marketing, Finance)">
  <pivotTables>
    <pivotTable tabId="5" name="Pivot_CurrentHeadcount"/>
    <pivotTable tabId="5" name="Pivot_AktifDeprtment"/>
    <pivotTable tabId="5" name="Pivot_AveragePerformance"/>
    <pivotTable tabId="5" name="Pivot_AverageSallary"/>
    <pivotTable tabId="5" name="Pivot_Gender"/>
    <pivotTable tabId="5" name="Pivot_MasaKerja"/>
    <pivotTable tabId="5" name="Pivot_MonthlyPayroll"/>
    <pivotTable tabId="5" name="Pivot_Performance"/>
    <pivotTable tabId="5" name="Pivot_Resigned"/>
    <pivotTable tabId="5" name="Pivot_StatusEmplyment"/>
  </pivotTables>
  <data>
    <tabular pivotCacheId="801799684">
      <items count="5">
        <i x="2" s="1"/>
        <i x="0" s="1"/>
        <i x="4"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_Kerja__Kontrak___Tetap" xr10:uid="{E7ED8211-3304-4D8E-AC4F-FCBAE79680DD}" sourceName="Status Kerja (Kontrak / Tetap)">
  <pivotTables>
    <pivotTable tabId="5" name="Pivot_CurrentHeadcount"/>
    <pivotTable tabId="5" name="Pivot_AktifDeprtment"/>
    <pivotTable tabId="5" name="Pivot_AveragePerformance"/>
    <pivotTable tabId="5" name="Pivot_AverageSallary"/>
    <pivotTable tabId="5" name="Pivot_Gender"/>
    <pivotTable tabId="5" name="Pivot_MasaKerja"/>
    <pivotTable tabId="5" name="Pivot_MonthlyPayroll"/>
    <pivotTable tabId="5" name="Pivot_Performance"/>
    <pivotTable tabId="5" name="Pivot_Resigned"/>
    <pivotTable tabId="5" name="Pivot_StatusEmplyment"/>
  </pivotTables>
  <data>
    <tabular pivotCacheId="80179968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enis Kelamin (Laki-laki / Perempuan)" xr10:uid="{C3BA490E-E937-46E1-8FC5-73C54180F0E6}" cache="Slicer_Jenis_Kelamin__Laki_laki___Perempuan" caption="Jenis Kelamin (Laki-laki / Perempuan)" style="SlicerStyleDark6" rowHeight="241300"/>
  <slicer name="Departemen (Sales, IT, HR, Marketing, Finance)" xr10:uid="{6FC3D944-168C-4763-9F0D-2A2629202692}" cache="Slicer_Departemen__Sales__IT__HR__Marketing__Finance" caption="Departemen (Sales, IT, HR, Marketing, Finance)" startItem="2" style="SlicerStyleDark6" rowHeight="241300"/>
  <slicer name="Status Kerja (Kontrak / Tetap)" xr10:uid="{1E72BDD0-E8C1-4BC7-BA9E-C9D356BDA1D8}" cache="Slicer_Status_Kerja__Kontrak___Tetap" caption="Status Kerja (Kontrak / Tetap)" style="SlicerStyleDark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5916F-55F0-4A66-B7F1-BFA498B42617}">
  <dimension ref="B1:AO23"/>
  <sheetViews>
    <sheetView showGridLines="0" topLeftCell="A3" zoomScale="67" zoomScaleNormal="41" zoomScaleSheetLayoutView="35" workbookViewId="0">
      <selection activeCell="AO23" sqref="AO23"/>
    </sheetView>
  </sheetViews>
  <sheetFormatPr defaultRowHeight="15" x14ac:dyDescent="0.25"/>
  <cols>
    <col min="1" max="1" width="17.5703125" bestFit="1" customWidth="1"/>
  </cols>
  <sheetData>
    <row r="1" spans="2:26" ht="33" x14ac:dyDescent="0.45">
      <c r="B1" s="26"/>
      <c r="C1" s="27" t="s">
        <v>1035</v>
      </c>
      <c r="D1" s="27"/>
      <c r="E1" s="27"/>
      <c r="F1" s="26"/>
      <c r="G1" s="26"/>
      <c r="H1" s="26"/>
      <c r="I1" s="26"/>
      <c r="J1" s="26"/>
      <c r="K1" s="26"/>
      <c r="L1" s="26"/>
      <c r="M1" s="26"/>
      <c r="N1" s="26"/>
      <c r="O1" s="26"/>
      <c r="P1" s="26"/>
      <c r="Q1" s="26"/>
      <c r="R1" s="26"/>
      <c r="S1" s="26"/>
      <c r="T1" s="26"/>
      <c r="U1" s="26"/>
      <c r="V1" s="26"/>
      <c r="W1" s="26"/>
      <c r="X1" s="26"/>
      <c r="Y1" s="26"/>
      <c r="Z1" s="26"/>
    </row>
    <row r="2" spans="2:26" ht="33.75" x14ac:dyDescent="0.5">
      <c r="B2" s="26"/>
      <c r="C2" s="28" t="s">
        <v>1036</v>
      </c>
      <c r="D2" s="27"/>
      <c r="E2" s="27"/>
      <c r="F2" s="26"/>
      <c r="G2" s="26"/>
      <c r="H2" s="26"/>
      <c r="I2" s="26"/>
      <c r="J2" s="26"/>
      <c r="K2" s="26"/>
      <c r="L2" s="26"/>
      <c r="M2" s="26"/>
      <c r="N2" s="26"/>
      <c r="O2" s="26"/>
      <c r="P2" s="26"/>
      <c r="Q2" s="26"/>
      <c r="R2" s="26"/>
      <c r="S2" s="26"/>
      <c r="T2" s="26"/>
      <c r="U2" s="26"/>
      <c r="V2" s="26"/>
      <c r="W2" s="26"/>
      <c r="X2" s="26"/>
      <c r="Y2" s="26"/>
      <c r="Z2" s="26"/>
    </row>
    <row r="3" spans="2:26" x14ac:dyDescent="0.25">
      <c r="B3" s="26"/>
      <c r="C3" s="26"/>
      <c r="D3" s="26"/>
      <c r="E3" s="26"/>
      <c r="F3" s="26"/>
      <c r="G3" s="26"/>
      <c r="H3" s="26"/>
      <c r="I3" s="26"/>
      <c r="J3" s="26"/>
      <c r="K3" s="26"/>
      <c r="L3" s="26"/>
      <c r="M3" s="26"/>
      <c r="N3" s="26"/>
      <c r="O3" s="26"/>
      <c r="P3" s="26"/>
      <c r="Q3" s="26"/>
      <c r="R3" s="26"/>
      <c r="S3" s="26"/>
      <c r="T3" s="26"/>
      <c r="U3" s="26"/>
      <c r="V3" s="26"/>
      <c r="W3" s="26"/>
      <c r="X3" s="26"/>
      <c r="Y3" s="26"/>
      <c r="Z3" s="26"/>
    </row>
    <row r="4" spans="2:26" x14ac:dyDescent="0.25">
      <c r="B4" s="26"/>
      <c r="C4" s="26"/>
      <c r="D4" s="26"/>
      <c r="E4" s="26"/>
      <c r="F4" s="26"/>
      <c r="G4" s="26"/>
      <c r="H4" s="26"/>
      <c r="I4" s="26"/>
      <c r="J4" s="26"/>
      <c r="K4" s="26"/>
      <c r="L4" s="26"/>
      <c r="M4" s="26"/>
      <c r="N4" s="26"/>
      <c r="O4" s="26"/>
      <c r="P4" s="26"/>
      <c r="Q4" s="26"/>
      <c r="R4" s="26"/>
      <c r="S4" s="26"/>
      <c r="T4" s="26"/>
      <c r="U4" s="26"/>
      <c r="V4" s="26"/>
      <c r="W4" s="26"/>
      <c r="X4" s="26"/>
      <c r="Y4" s="26"/>
      <c r="Z4" s="26"/>
    </row>
    <row r="5" spans="2:26" x14ac:dyDescent="0.25">
      <c r="B5" s="26"/>
      <c r="C5" s="26"/>
      <c r="D5" s="26"/>
      <c r="E5" s="26"/>
      <c r="F5" s="26"/>
      <c r="G5" s="26"/>
      <c r="H5" s="26"/>
      <c r="I5" s="26"/>
      <c r="J5" s="26"/>
      <c r="K5" s="26"/>
      <c r="L5" s="26"/>
      <c r="M5" s="26"/>
      <c r="N5" s="26"/>
      <c r="O5" s="26"/>
      <c r="P5" s="26"/>
      <c r="Q5" s="26"/>
      <c r="R5" s="26"/>
      <c r="S5" s="26"/>
      <c r="T5" s="26"/>
      <c r="U5" s="26"/>
      <c r="V5" s="26"/>
      <c r="W5" s="26"/>
      <c r="X5" s="26"/>
      <c r="Y5" s="26"/>
      <c r="Z5" s="26"/>
    </row>
    <row r="6" spans="2:26" x14ac:dyDescent="0.25">
      <c r="B6" s="26"/>
      <c r="C6" s="26"/>
      <c r="D6" s="26"/>
      <c r="E6" s="26"/>
      <c r="F6" s="26"/>
      <c r="G6" s="26"/>
      <c r="H6" s="26"/>
      <c r="I6" s="26"/>
      <c r="J6" s="26"/>
      <c r="K6" s="26"/>
      <c r="L6" s="26"/>
      <c r="M6" s="26"/>
      <c r="N6" s="26"/>
      <c r="O6" s="26"/>
      <c r="P6" s="26"/>
      <c r="Q6" s="26"/>
      <c r="R6" s="26"/>
      <c r="S6" s="26"/>
      <c r="T6" s="26"/>
      <c r="U6" s="26"/>
      <c r="V6" s="26"/>
      <c r="W6" s="26"/>
      <c r="X6" s="26"/>
      <c r="Y6" s="26"/>
      <c r="Z6" s="26"/>
    </row>
    <row r="7" spans="2:26" x14ac:dyDescent="0.25">
      <c r="B7" s="26"/>
      <c r="C7" s="26"/>
      <c r="D7" s="26"/>
      <c r="E7" s="26"/>
      <c r="F7" s="26"/>
      <c r="G7" s="26"/>
      <c r="H7" s="26"/>
      <c r="I7" s="26"/>
      <c r="J7" s="26"/>
      <c r="K7" s="26"/>
      <c r="L7" s="26"/>
      <c r="M7" s="26"/>
      <c r="N7" s="26"/>
      <c r="O7" s="26"/>
      <c r="P7" s="26"/>
      <c r="Q7" s="26"/>
      <c r="R7" s="26"/>
      <c r="S7" s="26"/>
      <c r="T7" s="26"/>
      <c r="U7" s="26"/>
      <c r="V7" s="26"/>
      <c r="W7" s="26"/>
      <c r="X7" s="26"/>
      <c r="Y7" s="26"/>
      <c r="Z7" s="26"/>
    </row>
    <row r="8" spans="2:26" x14ac:dyDescent="0.25">
      <c r="B8" s="26"/>
      <c r="C8" s="26"/>
      <c r="D8" s="26"/>
      <c r="E8" s="26"/>
      <c r="F8" s="26"/>
      <c r="G8" s="26"/>
      <c r="H8" s="26"/>
      <c r="I8" s="26"/>
      <c r="J8" s="26"/>
      <c r="K8" s="26"/>
      <c r="L8" s="26"/>
      <c r="M8" s="26"/>
      <c r="N8" s="26"/>
      <c r="O8" s="26"/>
      <c r="P8" s="26"/>
      <c r="Q8" s="26"/>
      <c r="R8" s="26"/>
      <c r="S8" s="26"/>
      <c r="T8" s="26"/>
      <c r="U8" s="26"/>
      <c r="V8" s="26"/>
      <c r="W8" s="26"/>
      <c r="X8" s="26"/>
      <c r="Y8" s="26"/>
      <c r="Z8" s="26"/>
    </row>
    <row r="23" spans="41:41" x14ac:dyDescent="0.25">
      <c r="AO23" t="s">
        <v>1041</v>
      </c>
    </row>
  </sheetData>
  <pageMargins left="0.7" right="0.7" top="0.75" bottom="0.75" header="0.3" footer="0.3"/>
  <pageSetup scale="15" orientation="portrait" horizontalDpi="0" verticalDpi="0" r:id="rId1"/>
  <colBreaks count="1" manualBreakCount="1">
    <brk id="63" max="89" man="1"/>
  </colBreaks>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B40EE-4233-4F0D-B588-E986DD69C12F}">
  <dimension ref="A1:B74"/>
  <sheetViews>
    <sheetView topLeftCell="A45" workbookViewId="0">
      <selection activeCell="A70" sqref="A70"/>
    </sheetView>
  </sheetViews>
  <sheetFormatPr defaultRowHeight="15" x14ac:dyDescent="0.25"/>
  <cols>
    <col min="1" max="1" width="25.28515625" bestFit="1" customWidth="1"/>
    <col min="2" max="2" width="38.85546875" bestFit="1" customWidth="1"/>
    <col min="3" max="4" width="11.42578125" bestFit="1" customWidth="1"/>
    <col min="5" max="6" width="12.42578125" bestFit="1" customWidth="1"/>
    <col min="7" max="7" width="11.42578125" bestFit="1" customWidth="1"/>
    <col min="8" max="12" width="12.42578125" bestFit="1" customWidth="1"/>
    <col min="13" max="13" width="11.42578125" bestFit="1" customWidth="1"/>
    <col min="14" max="16" width="12.42578125" bestFit="1" customWidth="1"/>
    <col min="17" max="18" width="11.42578125" bestFit="1" customWidth="1"/>
    <col min="19" max="20" width="12.42578125" bestFit="1" customWidth="1"/>
    <col min="21" max="24" width="11.42578125" bestFit="1" customWidth="1"/>
    <col min="25" max="26" width="12.42578125" bestFit="1" customWidth="1"/>
    <col min="27" max="27" width="11.42578125" bestFit="1" customWidth="1"/>
    <col min="28" max="30" width="12.42578125" bestFit="1" customWidth="1"/>
    <col min="31" max="32" width="11.42578125" bestFit="1" customWidth="1"/>
    <col min="33" max="33" width="12.42578125" bestFit="1" customWidth="1"/>
    <col min="34" max="34" width="11.42578125" bestFit="1" customWidth="1"/>
    <col min="35" max="36" width="12.42578125" bestFit="1" customWidth="1"/>
    <col min="37" max="37" width="11.42578125" bestFit="1" customWidth="1"/>
    <col min="38" max="40" width="12.42578125" bestFit="1" customWidth="1"/>
    <col min="41" max="41" width="11.42578125" bestFit="1" customWidth="1"/>
    <col min="42" max="43" width="12.42578125" bestFit="1" customWidth="1"/>
    <col min="44" max="44" width="11.42578125" bestFit="1" customWidth="1"/>
    <col min="45" max="52" width="12.42578125" bestFit="1" customWidth="1"/>
    <col min="53" max="53" width="11.42578125" bestFit="1" customWidth="1"/>
    <col min="54" max="58" width="12.42578125" bestFit="1" customWidth="1"/>
    <col min="59" max="60" width="11.42578125" bestFit="1" customWidth="1"/>
    <col min="61" max="62" width="12.42578125" bestFit="1" customWidth="1"/>
    <col min="63" max="63" width="11.42578125" bestFit="1" customWidth="1"/>
    <col min="64" max="67" width="12.42578125" bestFit="1" customWidth="1"/>
    <col min="68" max="69" width="11.42578125" bestFit="1" customWidth="1"/>
    <col min="70" max="71" width="12.42578125" bestFit="1" customWidth="1"/>
    <col min="72" max="72" width="11.42578125" bestFit="1" customWidth="1"/>
    <col min="73" max="76" width="12.42578125" bestFit="1" customWidth="1"/>
    <col min="77" max="77" width="11.42578125" bestFit="1" customWidth="1"/>
    <col min="78" max="85" width="12.42578125" bestFit="1" customWidth="1"/>
    <col min="86" max="86" width="11.42578125" bestFit="1" customWidth="1"/>
    <col min="87" max="92" width="12.42578125" bestFit="1" customWidth="1"/>
    <col min="93" max="94" width="11.42578125" bestFit="1" customWidth="1"/>
    <col min="95" max="97" width="12.42578125" bestFit="1" customWidth="1"/>
    <col min="98" max="98" width="11.42578125" bestFit="1" customWidth="1"/>
    <col min="99" max="99" width="12.42578125" bestFit="1" customWidth="1"/>
    <col min="100" max="103" width="11.42578125" bestFit="1" customWidth="1"/>
    <col min="104" max="108" width="12.42578125" bestFit="1" customWidth="1"/>
    <col min="109" max="111" width="11.42578125" bestFit="1" customWidth="1"/>
    <col min="112" max="117" width="12.42578125" bestFit="1" customWidth="1"/>
    <col min="118" max="118" width="11.42578125" bestFit="1" customWidth="1"/>
    <col min="119" max="124" width="12.42578125" bestFit="1" customWidth="1"/>
    <col min="125" max="125" width="11.42578125" bestFit="1" customWidth="1"/>
    <col min="126" max="128" width="12.42578125" bestFit="1" customWidth="1"/>
    <col min="129" max="129" width="11.42578125" bestFit="1" customWidth="1"/>
    <col min="130" max="130" width="12.42578125" bestFit="1" customWidth="1"/>
    <col min="131" max="131" width="11.42578125" bestFit="1" customWidth="1"/>
    <col min="132" max="132" width="12.42578125" bestFit="1" customWidth="1"/>
    <col min="133" max="133" width="11.42578125" bestFit="1" customWidth="1"/>
    <col min="134" max="143" width="12.42578125" bestFit="1" customWidth="1"/>
    <col min="144" max="145" width="11.42578125" bestFit="1" customWidth="1"/>
    <col min="146" max="150" width="12.42578125" bestFit="1" customWidth="1"/>
    <col min="151" max="151" width="11.42578125" bestFit="1" customWidth="1"/>
    <col min="152" max="157" width="12.42578125" bestFit="1" customWidth="1"/>
    <col min="158" max="160" width="11.42578125" bestFit="1" customWidth="1"/>
    <col min="161" max="162" width="12.42578125" bestFit="1" customWidth="1"/>
    <col min="163" max="163" width="11.42578125" bestFit="1" customWidth="1"/>
    <col min="164" max="167" width="12.42578125" bestFit="1" customWidth="1"/>
    <col min="168" max="168" width="11.42578125" bestFit="1" customWidth="1"/>
    <col min="169" max="170" width="12.42578125" bestFit="1" customWidth="1"/>
    <col min="171" max="171" width="11.42578125" bestFit="1" customWidth="1"/>
    <col min="172" max="174" width="12.42578125" bestFit="1" customWidth="1"/>
    <col min="175" max="175" width="11.42578125" bestFit="1" customWidth="1"/>
    <col min="176" max="178" width="12.42578125" bestFit="1" customWidth="1"/>
    <col min="179" max="180" width="11.42578125" bestFit="1" customWidth="1"/>
    <col min="181" max="184" width="12.42578125" bestFit="1" customWidth="1"/>
    <col min="185" max="185" width="11.42578125" bestFit="1" customWidth="1"/>
    <col min="186" max="188" width="12.42578125" bestFit="1" customWidth="1"/>
    <col min="189" max="189" width="11.42578125" bestFit="1" customWidth="1"/>
    <col min="190" max="190" width="12.42578125" bestFit="1" customWidth="1"/>
    <col min="191" max="191" width="11.42578125" bestFit="1" customWidth="1"/>
    <col min="192" max="192" width="12.42578125" bestFit="1" customWidth="1"/>
    <col min="193" max="195" width="11.42578125" bestFit="1" customWidth="1"/>
    <col min="196" max="196" width="12.42578125" bestFit="1" customWidth="1"/>
    <col min="197" max="201" width="11.42578125" bestFit="1" customWidth="1"/>
    <col min="202" max="205" width="12.42578125" bestFit="1" customWidth="1"/>
    <col min="206" max="207" width="11.42578125" bestFit="1" customWidth="1"/>
    <col min="208" max="208" width="12.42578125" bestFit="1" customWidth="1"/>
    <col min="209" max="210" width="11.42578125" bestFit="1" customWidth="1"/>
    <col min="211" max="218" width="12.42578125" bestFit="1" customWidth="1"/>
    <col min="219" max="219" width="11.42578125" bestFit="1" customWidth="1"/>
    <col min="220" max="224" width="12.42578125" bestFit="1" customWidth="1"/>
    <col min="225" max="226" width="11.42578125" bestFit="1" customWidth="1"/>
    <col min="227" max="229" width="12.42578125" bestFit="1" customWidth="1"/>
    <col min="230" max="230" width="11.42578125" bestFit="1" customWidth="1"/>
    <col min="231" max="237" width="12.42578125" bestFit="1" customWidth="1"/>
    <col min="238" max="238" width="11.42578125" bestFit="1" customWidth="1"/>
    <col min="239" max="239" width="12.42578125" bestFit="1" customWidth="1"/>
    <col min="240" max="241" width="11.42578125" bestFit="1" customWidth="1"/>
    <col min="242" max="243" width="12.42578125" bestFit="1" customWidth="1"/>
    <col min="244" max="244" width="11.42578125" bestFit="1" customWidth="1"/>
    <col min="245" max="245" width="12.42578125" bestFit="1" customWidth="1"/>
    <col min="246" max="246" width="11.42578125" bestFit="1" customWidth="1"/>
    <col min="247" max="253" width="12.42578125" bestFit="1" customWidth="1"/>
    <col min="254" max="255" width="11.42578125" bestFit="1" customWidth="1"/>
    <col min="256" max="258" width="12.42578125" bestFit="1" customWidth="1"/>
    <col min="259" max="259" width="11.42578125" bestFit="1" customWidth="1"/>
    <col min="260" max="261" width="12.42578125" bestFit="1" customWidth="1"/>
    <col min="262" max="266" width="11.42578125" bestFit="1" customWidth="1"/>
    <col min="267" max="269" width="12.42578125" bestFit="1" customWidth="1"/>
    <col min="270" max="271" width="11.42578125" bestFit="1" customWidth="1"/>
    <col min="272" max="272" width="12.42578125" bestFit="1" customWidth="1"/>
    <col min="273" max="273" width="11.42578125" bestFit="1" customWidth="1"/>
    <col min="274" max="275" width="12.42578125" bestFit="1" customWidth="1"/>
    <col min="276" max="278" width="11.42578125" bestFit="1" customWidth="1"/>
    <col min="279" max="282" width="12.42578125" bestFit="1" customWidth="1"/>
    <col min="283" max="283" width="11.42578125" bestFit="1" customWidth="1"/>
    <col min="284" max="286" width="12.42578125" bestFit="1" customWidth="1"/>
    <col min="287" max="289" width="11.42578125" bestFit="1" customWidth="1"/>
    <col min="290" max="291" width="12.42578125" bestFit="1" customWidth="1"/>
    <col min="292" max="296" width="11.42578125" bestFit="1" customWidth="1"/>
    <col min="297" max="297" width="12.42578125" bestFit="1" customWidth="1"/>
    <col min="298" max="298" width="11.42578125" bestFit="1" customWidth="1"/>
    <col min="299" max="301" width="12.42578125" bestFit="1" customWidth="1"/>
    <col min="302" max="302" width="11.42578125" bestFit="1" customWidth="1"/>
    <col min="303" max="303" width="12.42578125" bestFit="1" customWidth="1"/>
    <col min="304" max="306" width="11.42578125" bestFit="1" customWidth="1"/>
    <col min="307" max="312" width="12.42578125" bestFit="1" customWidth="1"/>
    <col min="313" max="313" width="11.42578125" bestFit="1" customWidth="1"/>
    <col min="314" max="316" width="12.42578125" bestFit="1" customWidth="1"/>
    <col min="317" max="317" width="11.42578125" bestFit="1" customWidth="1"/>
    <col min="318" max="323" width="12.42578125" bestFit="1" customWidth="1"/>
    <col min="324" max="324" width="11.42578125" bestFit="1" customWidth="1"/>
    <col min="325" max="325" width="12.42578125" bestFit="1" customWidth="1"/>
    <col min="326" max="326" width="11.42578125" bestFit="1" customWidth="1"/>
    <col min="327" max="327" width="12.42578125" bestFit="1" customWidth="1"/>
    <col min="328" max="328" width="11.42578125" bestFit="1" customWidth="1"/>
    <col min="329" max="337" width="12.42578125" bestFit="1" customWidth="1"/>
    <col min="338" max="339" width="11.42578125" bestFit="1" customWidth="1"/>
    <col min="340" max="345" width="12.42578125" bestFit="1" customWidth="1"/>
    <col min="346" max="347" width="11.42578125" bestFit="1" customWidth="1"/>
    <col min="348" max="349" width="12.42578125" bestFit="1" customWidth="1"/>
    <col min="350" max="350" width="11.42578125" bestFit="1" customWidth="1"/>
    <col min="351" max="352" width="12.42578125" bestFit="1" customWidth="1"/>
    <col min="353" max="353" width="11.42578125" bestFit="1" customWidth="1"/>
    <col min="354" max="356" width="12.42578125" bestFit="1" customWidth="1"/>
    <col min="357" max="358" width="11.42578125" bestFit="1" customWidth="1"/>
    <col min="359" max="359" width="12.42578125" bestFit="1" customWidth="1"/>
    <col min="360" max="361" width="11.42578125" bestFit="1" customWidth="1"/>
    <col min="362" max="363" width="12.42578125" bestFit="1" customWidth="1"/>
    <col min="364" max="364" width="11.42578125" bestFit="1" customWidth="1"/>
    <col min="365" max="370" width="12.42578125" bestFit="1" customWidth="1"/>
    <col min="371" max="374" width="11.42578125" bestFit="1" customWidth="1"/>
    <col min="375" max="375" width="12.42578125" bestFit="1" customWidth="1"/>
    <col min="376" max="378" width="11.42578125" bestFit="1" customWidth="1"/>
    <col min="379" max="383" width="12.42578125" bestFit="1" customWidth="1"/>
    <col min="384" max="384" width="11.42578125" bestFit="1" customWidth="1"/>
    <col min="385" max="390" width="12.42578125" bestFit="1" customWidth="1"/>
    <col min="391" max="392" width="11.42578125" bestFit="1" customWidth="1"/>
    <col min="393" max="393" width="12.42578125" bestFit="1" customWidth="1"/>
    <col min="394" max="394" width="11.42578125" bestFit="1" customWidth="1"/>
    <col min="395" max="397" width="12.42578125" bestFit="1" customWidth="1"/>
    <col min="398" max="401" width="11.42578125" bestFit="1" customWidth="1"/>
    <col min="402" max="407" width="12.42578125" bestFit="1" customWidth="1"/>
    <col min="408" max="409" width="11.42578125" bestFit="1" customWidth="1"/>
    <col min="410" max="416" width="12.42578125" bestFit="1" customWidth="1"/>
    <col min="417" max="418" width="11.42578125" bestFit="1" customWidth="1"/>
    <col min="419" max="421" width="12.42578125" bestFit="1" customWidth="1"/>
    <col min="422" max="422" width="11.42578125" bestFit="1" customWidth="1"/>
    <col min="423" max="423" width="12.42578125" bestFit="1" customWidth="1"/>
    <col min="424" max="425" width="11.42578125" bestFit="1" customWidth="1"/>
    <col min="426" max="428" width="12.42578125" bestFit="1" customWidth="1"/>
    <col min="429" max="429" width="11.42578125" bestFit="1" customWidth="1"/>
    <col min="430" max="430" width="12.42578125" bestFit="1" customWidth="1"/>
    <col min="431" max="432" width="11.42578125" bestFit="1" customWidth="1"/>
    <col min="433" max="433" width="12.42578125" bestFit="1" customWidth="1"/>
    <col min="434" max="434" width="11.42578125" bestFit="1" customWidth="1"/>
    <col min="435" max="437" width="12.42578125" bestFit="1" customWidth="1"/>
    <col min="438" max="438" width="11.42578125" bestFit="1" customWidth="1"/>
    <col min="439" max="440" width="12.42578125" bestFit="1" customWidth="1"/>
    <col min="441" max="441" width="11.42578125" bestFit="1" customWidth="1"/>
    <col min="442" max="443" width="12.42578125" bestFit="1" customWidth="1"/>
    <col min="444" max="445" width="11.42578125" bestFit="1" customWidth="1"/>
    <col min="446" max="452" width="12.42578125" bestFit="1" customWidth="1"/>
    <col min="453" max="457" width="11.42578125" bestFit="1" customWidth="1"/>
    <col min="458" max="461" width="12.42578125" bestFit="1" customWidth="1"/>
    <col min="462" max="462" width="11.42578125" bestFit="1" customWidth="1"/>
    <col min="463" max="463" width="12.42578125" bestFit="1" customWidth="1"/>
    <col min="464" max="464" width="11.42578125" bestFit="1" customWidth="1"/>
    <col min="465" max="466" width="12.42578125" bestFit="1" customWidth="1"/>
    <col min="467" max="467" width="11.42578125" bestFit="1" customWidth="1"/>
    <col min="468" max="470" width="12.42578125" bestFit="1" customWidth="1"/>
    <col min="471" max="471" width="11.42578125" bestFit="1" customWidth="1"/>
    <col min="472" max="487" width="12.42578125" bestFit="1" customWidth="1"/>
    <col min="488" max="489" width="11.42578125" bestFit="1" customWidth="1"/>
    <col min="490" max="490" width="12.42578125" bestFit="1" customWidth="1"/>
    <col min="491" max="491" width="11.42578125" bestFit="1" customWidth="1"/>
    <col min="492" max="501" width="12.42578125" bestFit="1" customWidth="1"/>
    <col min="502" max="502" width="11.42578125" bestFit="1" customWidth="1"/>
    <col min="503" max="503" width="15.140625" bestFit="1" customWidth="1"/>
  </cols>
  <sheetData>
    <row r="1" spans="1:2" x14ac:dyDescent="0.25">
      <c r="A1" s="21" t="s">
        <v>1025</v>
      </c>
      <c r="B1" t="s">
        <v>14</v>
      </c>
    </row>
    <row r="3" spans="1:2" x14ac:dyDescent="0.25">
      <c r="A3" t="s">
        <v>1023</v>
      </c>
    </row>
    <row r="4" spans="1:2" x14ac:dyDescent="0.25">
      <c r="A4">
        <v>235</v>
      </c>
    </row>
    <row r="6" spans="1:2" x14ac:dyDescent="0.25">
      <c r="A6" s="21" t="s">
        <v>1025</v>
      </c>
      <c r="B6" t="s">
        <v>18</v>
      </c>
    </row>
    <row r="8" spans="1:2" x14ac:dyDescent="0.25">
      <c r="A8" t="s">
        <v>1023</v>
      </c>
    </row>
    <row r="9" spans="1:2" x14ac:dyDescent="0.25">
      <c r="A9">
        <v>266</v>
      </c>
    </row>
    <row r="11" spans="1:2" x14ac:dyDescent="0.25">
      <c r="A11" s="21" t="s">
        <v>1025</v>
      </c>
      <c r="B11" t="s">
        <v>14</v>
      </c>
    </row>
    <row r="13" spans="1:2" x14ac:dyDescent="0.25">
      <c r="A13" t="s">
        <v>1026</v>
      </c>
    </row>
    <row r="14" spans="1:2" x14ac:dyDescent="0.25">
      <c r="A14" s="23">
        <v>3233000000</v>
      </c>
      <c r="B14" t="str">
        <f>"Rp "&amp;TEXT(A14/1000000000,"0.00")&amp;" Miliar"</f>
        <v>Rp 3.23 Miliar</v>
      </c>
    </row>
    <row r="16" spans="1:2" x14ac:dyDescent="0.25">
      <c r="A16" s="21" t="s">
        <v>1025</v>
      </c>
      <c r="B16" t="s">
        <v>14</v>
      </c>
    </row>
    <row r="18" spans="1:2" x14ac:dyDescent="0.25">
      <c r="A18" t="s">
        <v>1027</v>
      </c>
    </row>
    <row r="19" spans="1:2" x14ac:dyDescent="0.25">
      <c r="A19" s="22">
        <v>4.0340425531914894</v>
      </c>
      <c r="B19" t="str">
        <f>TEXT(A19,"0.00")&amp;"/5"</f>
        <v>4.03/5</v>
      </c>
    </row>
    <row r="22" spans="1:2" x14ac:dyDescent="0.25">
      <c r="A22" s="21" t="s">
        <v>1025</v>
      </c>
      <c r="B22" t="s">
        <v>14</v>
      </c>
    </row>
    <row r="24" spans="1:2" x14ac:dyDescent="0.25">
      <c r="A24" s="21" t="s">
        <v>1028</v>
      </c>
      <c r="B24" t="s">
        <v>1023</v>
      </c>
    </row>
    <row r="25" spans="1:2" x14ac:dyDescent="0.25">
      <c r="A25" s="24" t="s">
        <v>21</v>
      </c>
      <c r="B25">
        <v>58</v>
      </c>
    </row>
    <row r="26" spans="1:2" x14ac:dyDescent="0.25">
      <c r="A26" s="24" t="s">
        <v>29</v>
      </c>
      <c r="B26">
        <v>50</v>
      </c>
    </row>
    <row r="27" spans="1:2" x14ac:dyDescent="0.25">
      <c r="A27" s="24" t="s">
        <v>17</v>
      </c>
      <c r="B27">
        <v>47</v>
      </c>
    </row>
    <row r="28" spans="1:2" x14ac:dyDescent="0.25">
      <c r="A28" s="24" t="s">
        <v>25</v>
      </c>
      <c r="B28">
        <v>44</v>
      </c>
    </row>
    <row r="29" spans="1:2" x14ac:dyDescent="0.25">
      <c r="A29" s="24" t="s">
        <v>11</v>
      </c>
      <c r="B29">
        <v>36</v>
      </c>
    </row>
    <row r="30" spans="1:2" x14ac:dyDescent="0.25">
      <c r="A30" s="24" t="s">
        <v>1029</v>
      </c>
      <c r="B30">
        <v>235</v>
      </c>
    </row>
    <row r="32" spans="1:2" x14ac:dyDescent="0.25">
      <c r="A32" s="21" t="s">
        <v>1025</v>
      </c>
      <c r="B32" t="s">
        <v>14</v>
      </c>
    </row>
    <row r="34" spans="1:2" x14ac:dyDescent="0.25">
      <c r="A34" s="21" t="s">
        <v>1028</v>
      </c>
      <c r="B34" t="s">
        <v>1023</v>
      </c>
    </row>
    <row r="35" spans="1:2" x14ac:dyDescent="0.25">
      <c r="A35" s="24" t="s">
        <v>10</v>
      </c>
      <c r="B35">
        <v>148</v>
      </c>
    </row>
    <row r="36" spans="1:2" x14ac:dyDescent="0.25">
      <c r="A36" s="24" t="s">
        <v>49</v>
      </c>
      <c r="B36">
        <v>87</v>
      </c>
    </row>
    <row r="37" spans="1:2" x14ac:dyDescent="0.25">
      <c r="A37" s="24" t="s">
        <v>1029</v>
      </c>
      <c r="B37">
        <v>235</v>
      </c>
    </row>
    <row r="41" spans="1:2" x14ac:dyDescent="0.25">
      <c r="A41" s="21" t="s">
        <v>1025</v>
      </c>
      <c r="B41" t="s">
        <v>14</v>
      </c>
    </row>
    <row r="43" spans="1:2" x14ac:dyDescent="0.25">
      <c r="A43" s="21" t="s">
        <v>1028</v>
      </c>
      <c r="B43" t="s">
        <v>1023</v>
      </c>
    </row>
    <row r="44" spans="1:2" x14ac:dyDescent="0.25">
      <c r="A44" s="24" t="s">
        <v>13</v>
      </c>
      <c r="B44">
        <v>121</v>
      </c>
    </row>
    <row r="45" spans="1:2" x14ac:dyDescent="0.25">
      <c r="A45" s="24" t="s">
        <v>22</v>
      </c>
      <c r="B45">
        <v>114</v>
      </c>
    </row>
    <row r="46" spans="1:2" x14ac:dyDescent="0.25">
      <c r="A46" s="24" t="s">
        <v>1029</v>
      </c>
      <c r="B46">
        <v>235</v>
      </c>
    </row>
    <row r="48" spans="1:2" x14ac:dyDescent="0.25">
      <c r="A48" s="21" t="s">
        <v>1025</v>
      </c>
      <c r="B48" t="s">
        <v>14</v>
      </c>
    </row>
    <row r="50" spans="1:2" x14ac:dyDescent="0.25">
      <c r="A50" s="21" t="s">
        <v>1028</v>
      </c>
      <c r="B50" t="s">
        <v>1034</v>
      </c>
    </row>
    <row r="51" spans="1:2" x14ac:dyDescent="0.25">
      <c r="A51" s="24" t="s">
        <v>25</v>
      </c>
      <c r="B51" s="25">
        <v>14977272.727272727</v>
      </c>
    </row>
    <row r="52" spans="1:2" x14ac:dyDescent="0.25">
      <c r="A52" s="24" t="s">
        <v>11</v>
      </c>
      <c r="B52" s="25">
        <v>14222222.222222222</v>
      </c>
    </row>
    <row r="53" spans="1:2" x14ac:dyDescent="0.25">
      <c r="A53" s="24" t="s">
        <v>17</v>
      </c>
      <c r="B53" s="25">
        <v>13765957.446808511</v>
      </c>
    </row>
    <row r="54" spans="1:2" x14ac:dyDescent="0.25">
      <c r="A54" s="24" t="s">
        <v>29</v>
      </c>
      <c r="B54" s="25">
        <v>13200000</v>
      </c>
    </row>
    <row r="55" spans="1:2" x14ac:dyDescent="0.25">
      <c r="A55" s="24" t="s">
        <v>21</v>
      </c>
      <c r="B55" s="25">
        <v>13017241.379310345</v>
      </c>
    </row>
    <row r="56" spans="1:2" x14ac:dyDescent="0.25">
      <c r="A56" s="24" t="s">
        <v>1029</v>
      </c>
      <c r="B56" s="25">
        <v>13757446.808510639</v>
      </c>
    </row>
    <row r="58" spans="1:2" x14ac:dyDescent="0.25">
      <c r="A58" s="21" t="s">
        <v>1025</v>
      </c>
      <c r="B58" t="s">
        <v>14</v>
      </c>
    </row>
    <row r="60" spans="1:2" x14ac:dyDescent="0.25">
      <c r="A60" s="21" t="s">
        <v>1028</v>
      </c>
      <c r="B60" t="s">
        <v>1027</v>
      </c>
    </row>
    <row r="61" spans="1:2" x14ac:dyDescent="0.25">
      <c r="A61" s="24" t="s">
        <v>21</v>
      </c>
      <c r="B61" s="22">
        <v>4.1896551724137927</v>
      </c>
    </row>
    <row r="62" spans="1:2" x14ac:dyDescent="0.25">
      <c r="A62" s="24" t="s">
        <v>29</v>
      </c>
      <c r="B62" s="22">
        <v>4.0599999999999996</v>
      </c>
    </row>
    <row r="63" spans="1:2" x14ac:dyDescent="0.25">
      <c r="A63" s="24" t="s">
        <v>17</v>
      </c>
      <c r="B63" s="22">
        <v>4</v>
      </c>
    </row>
    <row r="64" spans="1:2" x14ac:dyDescent="0.25">
      <c r="A64" s="24" t="s">
        <v>25</v>
      </c>
      <c r="B64" s="22">
        <v>3.9545454545454546</v>
      </c>
    </row>
    <row r="65" spans="1:2" x14ac:dyDescent="0.25">
      <c r="A65" s="24" t="s">
        <v>11</v>
      </c>
      <c r="B65" s="22">
        <v>3.8888888888888888</v>
      </c>
    </row>
    <row r="66" spans="1:2" x14ac:dyDescent="0.25">
      <c r="A66" s="24" t="s">
        <v>1029</v>
      </c>
      <c r="B66" s="22">
        <v>4.0340425531914894</v>
      </c>
    </row>
    <row r="68" spans="1:2" x14ac:dyDescent="0.25">
      <c r="A68" s="21" t="s">
        <v>1025</v>
      </c>
      <c r="B68" t="s">
        <v>14</v>
      </c>
    </row>
    <row r="70" spans="1:2" x14ac:dyDescent="0.25">
      <c r="A70" s="21" t="s">
        <v>1028</v>
      </c>
      <c r="B70" t="s">
        <v>1023</v>
      </c>
    </row>
    <row r="71" spans="1:2" x14ac:dyDescent="0.25">
      <c r="A71" s="24" t="s">
        <v>1038</v>
      </c>
      <c r="B71">
        <v>76</v>
      </c>
    </row>
    <row r="72" spans="1:2" x14ac:dyDescent="0.25">
      <c r="A72" s="24" t="s">
        <v>1037</v>
      </c>
      <c r="B72">
        <v>84</v>
      </c>
    </row>
    <row r="73" spans="1:2" x14ac:dyDescent="0.25">
      <c r="A73" s="24" t="s">
        <v>1040</v>
      </c>
      <c r="B73">
        <v>75</v>
      </c>
    </row>
    <row r="74" spans="1:2" x14ac:dyDescent="0.25">
      <c r="A74" s="24" t="s">
        <v>1029</v>
      </c>
      <c r="B74">
        <v>235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2E018-9084-46DD-9D37-3ADC667B194B}">
  <dimension ref="A2:L504"/>
  <sheetViews>
    <sheetView tabSelected="1" topLeftCell="G208" zoomScale="93" zoomScaleNormal="93" workbookViewId="0">
      <selection activeCell="H6" sqref="H6:H504"/>
    </sheetView>
  </sheetViews>
  <sheetFormatPr defaultRowHeight="15" x14ac:dyDescent="0.25"/>
  <cols>
    <col min="1" max="1" width="31.5703125" customWidth="1"/>
    <col min="2" max="2" width="17.140625" customWidth="1"/>
    <col min="3" max="3" width="35.140625" bestFit="1" customWidth="1"/>
    <col min="4" max="4" width="43.5703125" bestFit="1" customWidth="1"/>
    <col min="5" max="5" width="36" bestFit="1" customWidth="1"/>
    <col min="6" max="6" width="27.85546875" customWidth="1"/>
    <col min="7" max="7" width="61.7109375" bestFit="1" customWidth="1"/>
    <col min="8" max="8" width="30.140625" style="29" customWidth="1"/>
    <col min="9" max="9" width="14.85546875" bestFit="1" customWidth="1"/>
    <col min="10" max="10" width="28" customWidth="1"/>
  </cols>
  <sheetData>
    <row r="2" spans="1:10" x14ac:dyDescent="0.25">
      <c r="A2" s="1"/>
      <c r="D2" s="2"/>
    </row>
    <row r="3" spans="1:10" x14ac:dyDescent="0.25">
      <c r="A3" s="3" t="s">
        <v>0</v>
      </c>
      <c r="B3" s="4" t="s">
        <v>1</v>
      </c>
      <c r="C3" s="4" t="s">
        <v>2</v>
      </c>
      <c r="D3" s="4" t="s">
        <v>3</v>
      </c>
      <c r="E3" s="4" t="s">
        <v>4</v>
      </c>
      <c r="F3" s="4" t="s">
        <v>5</v>
      </c>
      <c r="G3" s="4" t="s">
        <v>1024</v>
      </c>
      <c r="H3" s="30" t="s">
        <v>1039</v>
      </c>
      <c r="I3" s="4" t="s">
        <v>6</v>
      </c>
      <c r="J3" s="5" t="s">
        <v>7</v>
      </c>
    </row>
    <row r="4" spans="1:10" x14ac:dyDescent="0.25">
      <c r="A4" s="6" t="s">
        <v>8</v>
      </c>
      <c r="B4" s="7" t="s">
        <v>9</v>
      </c>
      <c r="C4" s="7" t="s">
        <v>10</v>
      </c>
      <c r="D4" s="7" t="s">
        <v>11</v>
      </c>
      <c r="E4" s="7" t="s">
        <v>12</v>
      </c>
      <c r="F4" s="7" t="s">
        <v>13</v>
      </c>
      <c r="G4" s="7" t="s">
        <v>14</v>
      </c>
      <c r="H4" s="31" t="str">
        <f>IF(E4="Manager","5 Tahun",IF(E4="Senior","2 Tahun ","1 Tahun"))</f>
        <v>5 Tahun</v>
      </c>
      <c r="I4" s="8">
        <f>IF(E4="Manager",20000000,IF(E4="Senior",15000000,7000000))</f>
        <v>20000000</v>
      </c>
      <c r="J4" s="9">
        <v>3</v>
      </c>
    </row>
    <row r="5" spans="1:10" x14ac:dyDescent="0.25">
      <c r="A5" s="10" t="s">
        <v>15</v>
      </c>
      <c r="B5" s="11" t="s">
        <v>16</v>
      </c>
      <c r="C5" s="11" t="s">
        <v>10</v>
      </c>
      <c r="D5" s="11" t="s">
        <v>17</v>
      </c>
      <c r="E5" s="11" t="s">
        <v>12</v>
      </c>
      <c r="F5" s="11" t="s">
        <v>13</v>
      </c>
      <c r="G5" s="11" t="s">
        <v>18</v>
      </c>
      <c r="H5" s="31" t="str">
        <f>IF(E5="Manager","5 Tahun",IF(E5="Senior","2 Tahun ","1 Tahun"))</f>
        <v>5 Tahun</v>
      </c>
      <c r="I5" s="12">
        <f t="shared" ref="I5:I68" si="0">IF(E5="Manager",20000000,IF(E5="Senior",15000000,7000000))</f>
        <v>20000000</v>
      </c>
      <c r="J5" s="13">
        <v>3</v>
      </c>
    </row>
    <row r="6" spans="1:10" x14ac:dyDescent="0.25">
      <c r="A6" s="6" t="s">
        <v>19</v>
      </c>
      <c r="B6" s="7" t="s">
        <v>20</v>
      </c>
      <c r="C6" s="7" t="s">
        <v>10</v>
      </c>
      <c r="D6" s="7" t="s">
        <v>21</v>
      </c>
      <c r="E6" s="7" t="s">
        <v>12</v>
      </c>
      <c r="F6" s="7" t="s">
        <v>22</v>
      </c>
      <c r="G6" s="7" t="s">
        <v>18</v>
      </c>
      <c r="H6" s="31" t="str">
        <f>IF(E6="Manager","5 Tahun",IF(E6="Senior","2 Tahun ","1 Tahun"))</f>
        <v>5 Tahun</v>
      </c>
      <c r="I6" s="8">
        <f t="shared" si="0"/>
        <v>20000000</v>
      </c>
      <c r="J6" s="9">
        <v>4</v>
      </c>
    </row>
    <row r="7" spans="1:10" x14ac:dyDescent="0.25">
      <c r="A7" s="10" t="s">
        <v>23</v>
      </c>
      <c r="B7" s="11" t="s">
        <v>24</v>
      </c>
      <c r="C7" s="11" t="s">
        <v>10</v>
      </c>
      <c r="D7" s="11" t="s">
        <v>25</v>
      </c>
      <c r="E7" s="11" t="s">
        <v>26</v>
      </c>
      <c r="F7" s="11" t="s">
        <v>22</v>
      </c>
      <c r="G7" s="11" t="s">
        <v>14</v>
      </c>
      <c r="H7" s="31" t="str">
        <f t="shared" ref="H7:H70" si="1">IF(E7="Manager","5 Tahun",IF(E7="Senior","2 Tahun ","1 Tahun"))</f>
        <v xml:space="preserve">2 Tahun </v>
      </c>
      <c r="I7" s="12">
        <f t="shared" si="0"/>
        <v>15000000</v>
      </c>
      <c r="J7" s="13">
        <v>3</v>
      </c>
    </row>
    <row r="8" spans="1:10" x14ac:dyDescent="0.25">
      <c r="A8" s="6" t="s">
        <v>27</v>
      </c>
      <c r="B8" s="7" t="s">
        <v>28</v>
      </c>
      <c r="C8" s="7" t="s">
        <v>10</v>
      </c>
      <c r="D8" s="7" t="s">
        <v>29</v>
      </c>
      <c r="E8" s="7" t="s">
        <v>12</v>
      </c>
      <c r="F8" s="7" t="s">
        <v>22</v>
      </c>
      <c r="G8" s="7" t="s">
        <v>18</v>
      </c>
      <c r="H8" s="31" t="str">
        <f t="shared" si="1"/>
        <v>5 Tahun</v>
      </c>
      <c r="I8" s="8">
        <f t="shared" si="0"/>
        <v>20000000</v>
      </c>
      <c r="J8" s="9">
        <v>4</v>
      </c>
    </row>
    <row r="9" spans="1:10" x14ac:dyDescent="0.25">
      <c r="A9" s="10" t="s">
        <v>30</v>
      </c>
      <c r="B9" s="11" t="s">
        <v>31</v>
      </c>
      <c r="C9" s="11" t="s">
        <v>10</v>
      </c>
      <c r="D9" s="11" t="s">
        <v>21</v>
      </c>
      <c r="E9" s="11" t="s">
        <v>26</v>
      </c>
      <c r="F9" s="11" t="s">
        <v>22</v>
      </c>
      <c r="G9" s="11" t="s">
        <v>18</v>
      </c>
      <c r="H9" s="31" t="str">
        <f t="shared" si="1"/>
        <v xml:space="preserve">2 Tahun </v>
      </c>
      <c r="I9" s="12">
        <f t="shared" si="0"/>
        <v>15000000</v>
      </c>
      <c r="J9" s="13">
        <v>3</v>
      </c>
    </row>
    <row r="10" spans="1:10" x14ac:dyDescent="0.25">
      <c r="A10" s="6" t="s">
        <v>32</v>
      </c>
      <c r="B10" s="7" t="s">
        <v>33</v>
      </c>
      <c r="C10" s="7" t="s">
        <v>10</v>
      </c>
      <c r="D10" s="7" t="s">
        <v>17</v>
      </c>
      <c r="E10" s="7" t="s">
        <v>12</v>
      </c>
      <c r="F10" s="7" t="s">
        <v>22</v>
      </c>
      <c r="G10" s="7" t="s">
        <v>14</v>
      </c>
      <c r="H10" s="31" t="str">
        <f t="shared" si="1"/>
        <v>5 Tahun</v>
      </c>
      <c r="I10" s="8">
        <f t="shared" si="0"/>
        <v>20000000</v>
      </c>
      <c r="J10" s="9">
        <v>5</v>
      </c>
    </row>
    <row r="11" spans="1:10" x14ac:dyDescent="0.25">
      <c r="A11" s="10" t="s">
        <v>34</v>
      </c>
      <c r="B11" s="11" t="s">
        <v>35</v>
      </c>
      <c r="C11" s="11" t="s">
        <v>10</v>
      </c>
      <c r="D11" s="11" t="s">
        <v>29</v>
      </c>
      <c r="E11" s="11" t="s">
        <v>12</v>
      </c>
      <c r="F11" s="11" t="s">
        <v>13</v>
      </c>
      <c r="G11" s="11" t="s">
        <v>14</v>
      </c>
      <c r="H11" s="31" t="str">
        <f t="shared" si="1"/>
        <v>5 Tahun</v>
      </c>
      <c r="I11" s="12">
        <f t="shared" si="0"/>
        <v>20000000</v>
      </c>
      <c r="J11" s="13">
        <v>3</v>
      </c>
    </row>
    <row r="12" spans="1:10" x14ac:dyDescent="0.25">
      <c r="A12" s="6" t="s">
        <v>36</v>
      </c>
      <c r="B12" s="7" t="s">
        <v>37</v>
      </c>
      <c r="C12" s="7" t="s">
        <v>10</v>
      </c>
      <c r="D12" s="7" t="s">
        <v>21</v>
      </c>
      <c r="E12" s="7" t="s">
        <v>26</v>
      </c>
      <c r="F12" s="7" t="s">
        <v>22</v>
      </c>
      <c r="G12" s="7" t="s">
        <v>18</v>
      </c>
      <c r="H12" s="31" t="str">
        <f t="shared" si="1"/>
        <v xml:space="preserve">2 Tahun </v>
      </c>
      <c r="I12" s="8">
        <f t="shared" si="0"/>
        <v>15000000</v>
      </c>
      <c r="J12" s="9">
        <v>4</v>
      </c>
    </row>
    <row r="13" spans="1:10" x14ac:dyDescent="0.25">
      <c r="A13" s="10" t="s">
        <v>38</v>
      </c>
      <c r="B13" s="11" t="s">
        <v>39</v>
      </c>
      <c r="C13" s="11" t="s">
        <v>10</v>
      </c>
      <c r="D13" s="11" t="s">
        <v>17</v>
      </c>
      <c r="E13" s="11" t="s">
        <v>40</v>
      </c>
      <c r="F13" s="11" t="s">
        <v>22</v>
      </c>
      <c r="G13" s="11" t="s">
        <v>18</v>
      </c>
      <c r="H13" s="31" t="str">
        <f t="shared" si="1"/>
        <v>1 Tahun</v>
      </c>
      <c r="I13" s="12">
        <f t="shared" si="0"/>
        <v>7000000</v>
      </c>
      <c r="J13" s="13">
        <v>3</v>
      </c>
    </row>
    <row r="14" spans="1:10" x14ac:dyDescent="0.25">
      <c r="A14" s="6" t="s">
        <v>41</v>
      </c>
      <c r="B14" s="7" t="s">
        <v>42</v>
      </c>
      <c r="C14" s="7" t="s">
        <v>10</v>
      </c>
      <c r="D14" s="7" t="s">
        <v>29</v>
      </c>
      <c r="E14" s="7" t="s">
        <v>26</v>
      </c>
      <c r="F14" s="7" t="s">
        <v>22</v>
      </c>
      <c r="G14" s="7" t="s">
        <v>14</v>
      </c>
      <c r="H14" s="31" t="str">
        <f t="shared" si="1"/>
        <v xml:space="preserve">2 Tahun </v>
      </c>
      <c r="I14" s="8">
        <f t="shared" si="0"/>
        <v>15000000</v>
      </c>
      <c r="J14" s="9">
        <v>5</v>
      </c>
    </row>
    <row r="15" spans="1:10" x14ac:dyDescent="0.25">
      <c r="A15" s="10" t="s">
        <v>43</v>
      </c>
      <c r="B15" s="11" t="s">
        <v>44</v>
      </c>
      <c r="C15" s="11" t="s">
        <v>10</v>
      </c>
      <c r="D15" s="11" t="s">
        <v>25</v>
      </c>
      <c r="E15" s="11" t="s">
        <v>26</v>
      </c>
      <c r="F15" s="11" t="s">
        <v>13</v>
      </c>
      <c r="G15" s="11" t="s">
        <v>18</v>
      </c>
      <c r="H15" s="31" t="str">
        <f t="shared" si="1"/>
        <v xml:space="preserve">2 Tahun </v>
      </c>
      <c r="I15" s="12">
        <f t="shared" si="0"/>
        <v>15000000</v>
      </c>
      <c r="J15" s="13">
        <v>3</v>
      </c>
    </row>
    <row r="16" spans="1:10" x14ac:dyDescent="0.25">
      <c r="A16" s="6" t="s">
        <v>45</v>
      </c>
      <c r="B16" s="7" t="s">
        <v>46</v>
      </c>
      <c r="C16" s="7" t="s">
        <v>10</v>
      </c>
      <c r="D16" s="7" t="s">
        <v>17</v>
      </c>
      <c r="E16" s="7" t="s">
        <v>12</v>
      </c>
      <c r="F16" s="7" t="s">
        <v>13</v>
      </c>
      <c r="G16" s="7" t="s">
        <v>18</v>
      </c>
      <c r="H16" s="31" t="str">
        <f t="shared" si="1"/>
        <v>5 Tahun</v>
      </c>
      <c r="I16" s="8">
        <f t="shared" si="0"/>
        <v>20000000</v>
      </c>
      <c r="J16" s="9">
        <v>3</v>
      </c>
    </row>
    <row r="17" spans="1:10" x14ac:dyDescent="0.25">
      <c r="A17" s="10" t="s">
        <v>47</v>
      </c>
      <c r="B17" s="11" t="s">
        <v>48</v>
      </c>
      <c r="C17" s="11" t="s">
        <v>49</v>
      </c>
      <c r="D17" s="11" t="s">
        <v>17</v>
      </c>
      <c r="E17" s="11" t="s">
        <v>12</v>
      </c>
      <c r="F17" s="11" t="s">
        <v>13</v>
      </c>
      <c r="G17" s="11" t="s">
        <v>18</v>
      </c>
      <c r="H17" s="31" t="str">
        <f t="shared" si="1"/>
        <v>5 Tahun</v>
      </c>
      <c r="I17" s="12">
        <f t="shared" si="0"/>
        <v>20000000</v>
      </c>
      <c r="J17" s="13">
        <v>3</v>
      </c>
    </row>
    <row r="18" spans="1:10" x14ac:dyDescent="0.25">
      <c r="A18" s="6" t="s">
        <v>50</v>
      </c>
      <c r="B18" s="7" t="s">
        <v>51</v>
      </c>
      <c r="C18" s="7" t="s">
        <v>49</v>
      </c>
      <c r="D18" s="7" t="s">
        <v>17</v>
      </c>
      <c r="E18" s="7" t="s">
        <v>12</v>
      </c>
      <c r="F18" s="7" t="s">
        <v>22</v>
      </c>
      <c r="G18" s="7" t="s">
        <v>14</v>
      </c>
      <c r="H18" s="31" t="str">
        <f t="shared" si="1"/>
        <v>5 Tahun</v>
      </c>
      <c r="I18" s="8">
        <f t="shared" si="0"/>
        <v>20000000</v>
      </c>
      <c r="J18" s="9">
        <v>3</v>
      </c>
    </row>
    <row r="19" spans="1:10" x14ac:dyDescent="0.25">
      <c r="A19" s="10" t="s">
        <v>52</v>
      </c>
      <c r="B19" s="11" t="s">
        <v>53</v>
      </c>
      <c r="C19" s="11" t="s">
        <v>10</v>
      </c>
      <c r="D19" s="11" t="s">
        <v>17</v>
      </c>
      <c r="E19" s="11" t="s">
        <v>40</v>
      </c>
      <c r="F19" s="11" t="s">
        <v>13</v>
      </c>
      <c r="G19" s="11" t="s">
        <v>14</v>
      </c>
      <c r="H19" s="31" t="str">
        <f t="shared" si="1"/>
        <v>1 Tahun</v>
      </c>
      <c r="I19" s="12">
        <f t="shared" si="0"/>
        <v>7000000</v>
      </c>
      <c r="J19" s="13">
        <v>4</v>
      </c>
    </row>
    <row r="20" spans="1:10" x14ac:dyDescent="0.25">
      <c r="A20" s="6" t="s">
        <v>54</v>
      </c>
      <c r="B20" s="7" t="s">
        <v>55</v>
      </c>
      <c r="C20" s="7" t="s">
        <v>10</v>
      </c>
      <c r="D20" s="7" t="s">
        <v>17</v>
      </c>
      <c r="E20" s="7" t="s">
        <v>26</v>
      </c>
      <c r="F20" s="7" t="s">
        <v>13</v>
      </c>
      <c r="G20" s="7" t="s">
        <v>18</v>
      </c>
      <c r="H20" s="31" t="str">
        <f t="shared" si="1"/>
        <v xml:space="preserve">2 Tahun </v>
      </c>
      <c r="I20" s="8">
        <f t="shared" si="0"/>
        <v>15000000</v>
      </c>
      <c r="J20" s="9">
        <v>5</v>
      </c>
    </row>
    <row r="21" spans="1:10" x14ac:dyDescent="0.25">
      <c r="A21" s="10" t="s">
        <v>56</v>
      </c>
      <c r="B21" s="11" t="s">
        <v>57</v>
      </c>
      <c r="C21" s="11" t="s">
        <v>10</v>
      </c>
      <c r="D21" s="11" t="s">
        <v>17</v>
      </c>
      <c r="E21" s="11" t="s">
        <v>26</v>
      </c>
      <c r="F21" s="11" t="s">
        <v>22</v>
      </c>
      <c r="G21" s="11" t="s">
        <v>18</v>
      </c>
      <c r="H21" s="31" t="str">
        <f t="shared" si="1"/>
        <v xml:space="preserve">2 Tahun </v>
      </c>
      <c r="I21" s="12">
        <f t="shared" si="0"/>
        <v>15000000</v>
      </c>
      <c r="J21" s="13">
        <v>5</v>
      </c>
    </row>
    <row r="22" spans="1:10" x14ac:dyDescent="0.25">
      <c r="A22" s="6" t="s">
        <v>58</v>
      </c>
      <c r="B22" s="7" t="s">
        <v>59</v>
      </c>
      <c r="C22" s="7" t="s">
        <v>10</v>
      </c>
      <c r="D22" s="7" t="s">
        <v>11</v>
      </c>
      <c r="E22" s="7" t="s">
        <v>40</v>
      </c>
      <c r="F22" s="7" t="s">
        <v>13</v>
      </c>
      <c r="G22" s="7" t="s">
        <v>14</v>
      </c>
      <c r="H22" s="31" t="str">
        <f t="shared" si="1"/>
        <v>1 Tahun</v>
      </c>
      <c r="I22" s="8">
        <f t="shared" si="0"/>
        <v>7000000</v>
      </c>
      <c r="J22" s="9">
        <v>4</v>
      </c>
    </row>
    <row r="23" spans="1:10" x14ac:dyDescent="0.25">
      <c r="A23" s="10" t="s">
        <v>60</v>
      </c>
      <c r="B23" s="11" t="s">
        <v>61</v>
      </c>
      <c r="C23" s="11" t="s">
        <v>10</v>
      </c>
      <c r="D23" s="11" t="s">
        <v>11</v>
      </c>
      <c r="E23" s="11" t="s">
        <v>12</v>
      </c>
      <c r="F23" s="11" t="s">
        <v>13</v>
      </c>
      <c r="G23" s="11" t="s">
        <v>18</v>
      </c>
      <c r="H23" s="31" t="str">
        <f t="shared" si="1"/>
        <v>5 Tahun</v>
      </c>
      <c r="I23" s="12">
        <f t="shared" si="0"/>
        <v>20000000</v>
      </c>
      <c r="J23" s="13">
        <v>4</v>
      </c>
    </row>
    <row r="24" spans="1:10" x14ac:dyDescent="0.25">
      <c r="A24" s="6" t="s">
        <v>62</v>
      </c>
      <c r="B24" s="7" t="s">
        <v>63</v>
      </c>
      <c r="C24" s="7" t="s">
        <v>10</v>
      </c>
      <c r="D24" s="7" t="s">
        <v>21</v>
      </c>
      <c r="E24" s="7" t="s">
        <v>40</v>
      </c>
      <c r="F24" s="7" t="s">
        <v>13</v>
      </c>
      <c r="G24" s="7" t="s">
        <v>14</v>
      </c>
      <c r="H24" s="31" t="str">
        <f t="shared" si="1"/>
        <v>1 Tahun</v>
      </c>
      <c r="I24" s="8">
        <f t="shared" si="0"/>
        <v>7000000</v>
      </c>
      <c r="J24" s="9">
        <v>3</v>
      </c>
    </row>
    <row r="25" spans="1:10" x14ac:dyDescent="0.25">
      <c r="A25" s="10" t="s">
        <v>64</v>
      </c>
      <c r="B25" s="11" t="s">
        <v>65</v>
      </c>
      <c r="C25" s="11" t="s">
        <v>10</v>
      </c>
      <c r="D25" s="11" t="s">
        <v>29</v>
      </c>
      <c r="E25" s="11" t="s">
        <v>12</v>
      </c>
      <c r="F25" s="11" t="s">
        <v>13</v>
      </c>
      <c r="G25" s="11" t="s">
        <v>18</v>
      </c>
      <c r="H25" s="31" t="str">
        <f t="shared" si="1"/>
        <v>5 Tahun</v>
      </c>
      <c r="I25" s="12">
        <f t="shared" si="0"/>
        <v>20000000</v>
      </c>
      <c r="J25" s="13">
        <v>5</v>
      </c>
    </row>
    <row r="26" spans="1:10" x14ac:dyDescent="0.25">
      <c r="A26" s="6" t="s">
        <v>66</v>
      </c>
      <c r="B26" s="7" t="s">
        <v>67</v>
      </c>
      <c r="C26" s="7" t="s">
        <v>49</v>
      </c>
      <c r="D26" s="7" t="s">
        <v>29</v>
      </c>
      <c r="E26" s="7" t="s">
        <v>12</v>
      </c>
      <c r="F26" s="7" t="s">
        <v>22</v>
      </c>
      <c r="G26" s="7" t="s">
        <v>14</v>
      </c>
      <c r="H26" s="31" t="str">
        <f t="shared" si="1"/>
        <v>5 Tahun</v>
      </c>
      <c r="I26" s="8">
        <f t="shared" si="0"/>
        <v>20000000</v>
      </c>
      <c r="J26" s="9">
        <v>3</v>
      </c>
    </row>
    <row r="27" spans="1:10" x14ac:dyDescent="0.25">
      <c r="A27" s="10" t="s">
        <v>68</v>
      </c>
      <c r="B27" s="11" t="s">
        <v>69</v>
      </c>
      <c r="C27" s="11" t="s">
        <v>10</v>
      </c>
      <c r="D27" s="11" t="s">
        <v>29</v>
      </c>
      <c r="E27" s="11" t="s">
        <v>40</v>
      </c>
      <c r="F27" s="11" t="s">
        <v>22</v>
      </c>
      <c r="G27" s="11" t="s">
        <v>18</v>
      </c>
      <c r="H27" s="31" t="str">
        <f t="shared" si="1"/>
        <v>1 Tahun</v>
      </c>
      <c r="I27" s="12">
        <f t="shared" si="0"/>
        <v>7000000</v>
      </c>
      <c r="J27" s="13">
        <v>3</v>
      </c>
    </row>
    <row r="28" spans="1:10" x14ac:dyDescent="0.25">
      <c r="A28" s="6" t="s">
        <v>70</v>
      </c>
      <c r="B28" s="7" t="s">
        <v>71</v>
      </c>
      <c r="C28" s="7" t="s">
        <v>49</v>
      </c>
      <c r="D28" s="7" t="s">
        <v>25</v>
      </c>
      <c r="E28" s="7" t="s">
        <v>12</v>
      </c>
      <c r="F28" s="7" t="s">
        <v>13</v>
      </c>
      <c r="G28" s="7" t="s">
        <v>18</v>
      </c>
      <c r="H28" s="31" t="str">
        <f t="shared" si="1"/>
        <v>5 Tahun</v>
      </c>
      <c r="I28" s="8">
        <f t="shared" si="0"/>
        <v>20000000</v>
      </c>
      <c r="J28" s="9">
        <v>5</v>
      </c>
    </row>
    <row r="29" spans="1:10" x14ac:dyDescent="0.25">
      <c r="A29" s="10" t="s">
        <v>72</v>
      </c>
      <c r="B29" s="11" t="s">
        <v>73</v>
      </c>
      <c r="C29" s="11" t="s">
        <v>49</v>
      </c>
      <c r="D29" s="11" t="s">
        <v>25</v>
      </c>
      <c r="E29" s="11" t="s">
        <v>40</v>
      </c>
      <c r="F29" s="11" t="s">
        <v>13</v>
      </c>
      <c r="G29" s="11" t="s">
        <v>14</v>
      </c>
      <c r="H29" s="31" t="str">
        <f t="shared" si="1"/>
        <v>1 Tahun</v>
      </c>
      <c r="I29" s="12">
        <f t="shared" si="0"/>
        <v>7000000</v>
      </c>
      <c r="J29" s="13">
        <v>4</v>
      </c>
    </row>
    <row r="30" spans="1:10" x14ac:dyDescent="0.25">
      <c r="A30" s="6" t="s">
        <v>74</v>
      </c>
      <c r="B30" s="7" t="s">
        <v>75</v>
      </c>
      <c r="C30" s="7" t="s">
        <v>10</v>
      </c>
      <c r="D30" s="7" t="s">
        <v>17</v>
      </c>
      <c r="E30" s="7" t="s">
        <v>40</v>
      </c>
      <c r="F30" s="7" t="s">
        <v>13</v>
      </c>
      <c r="G30" s="7" t="s">
        <v>18</v>
      </c>
      <c r="H30" s="31" t="str">
        <f t="shared" si="1"/>
        <v>1 Tahun</v>
      </c>
      <c r="I30" s="8">
        <f t="shared" si="0"/>
        <v>7000000</v>
      </c>
      <c r="J30" s="9">
        <v>4</v>
      </c>
    </row>
    <row r="31" spans="1:10" x14ac:dyDescent="0.25">
      <c r="A31" s="10" t="s">
        <v>76</v>
      </c>
      <c r="B31" s="11" t="s">
        <v>77</v>
      </c>
      <c r="C31" s="11" t="s">
        <v>10</v>
      </c>
      <c r="D31" s="11" t="s">
        <v>21</v>
      </c>
      <c r="E31" s="11" t="s">
        <v>26</v>
      </c>
      <c r="F31" s="11" t="s">
        <v>13</v>
      </c>
      <c r="G31" s="11" t="s">
        <v>14</v>
      </c>
      <c r="H31" s="31" t="str">
        <f t="shared" si="1"/>
        <v xml:space="preserve">2 Tahun </v>
      </c>
      <c r="I31" s="12">
        <f t="shared" si="0"/>
        <v>15000000</v>
      </c>
      <c r="J31" s="13">
        <v>5</v>
      </c>
    </row>
    <row r="32" spans="1:10" x14ac:dyDescent="0.25">
      <c r="A32" s="6" t="s">
        <v>78</v>
      </c>
      <c r="B32" s="7" t="s">
        <v>79</v>
      </c>
      <c r="C32" s="7" t="s">
        <v>10</v>
      </c>
      <c r="D32" s="7" t="s">
        <v>25</v>
      </c>
      <c r="E32" s="7" t="s">
        <v>26</v>
      </c>
      <c r="F32" s="7" t="s">
        <v>13</v>
      </c>
      <c r="G32" s="7" t="s">
        <v>18</v>
      </c>
      <c r="H32" s="31" t="str">
        <f t="shared" si="1"/>
        <v xml:space="preserve">2 Tahun </v>
      </c>
      <c r="I32" s="8">
        <f t="shared" si="0"/>
        <v>15000000</v>
      </c>
      <c r="J32" s="9">
        <v>4</v>
      </c>
    </row>
    <row r="33" spans="1:10" x14ac:dyDescent="0.25">
      <c r="A33" s="10" t="s">
        <v>80</v>
      </c>
      <c r="B33" s="11" t="s">
        <v>81</v>
      </c>
      <c r="C33" s="11" t="s">
        <v>10</v>
      </c>
      <c r="D33" s="11" t="s">
        <v>21</v>
      </c>
      <c r="E33" s="11" t="s">
        <v>40</v>
      </c>
      <c r="F33" s="11" t="s">
        <v>22</v>
      </c>
      <c r="G33" s="11" t="s">
        <v>18</v>
      </c>
      <c r="H33" s="31" t="str">
        <f t="shared" si="1"/>
        <v>1 Tahun</v>
      </c>
      <c r="I33" s="12">
        <f t="shared" si="0"/>
        <v>7000000</v>
      </c>
      <c r="J33" s="13">
        <v>3</v>
      </c>
    </row>
    <row r="34" spans="1:10" x14ac:dyDescent="0.25">
      <c r="A34" s="6" t="s">
        <v>82</v>
      </c>
      <c r="B34" s="7" t="s">
        <v>83</v>
      </c>
      <c r="C34" s="7" t="s">
        <v>10</v>
      </c>
      <c r="D34" s="7" t="s">
        <v>25</v>
      </c>
      <c r="E34" s="7" t="s">
        <v>26</v>
      </c>
      <c r="F34" s="7" t="s">
        <v>22</v>
      </c>
      <c r="G34" s="7" t="s">
        <v>14</v>
      </c>
      <c r="H34" s="31" t="str">
        <f t="shared" si="1"/>
        <v xml:space="preserve">2 Tahun </v>
      </c>
      <c r="I34" s="8">
        <f t="shared" si="0"/>
        <v>15000000</v>
      </c>
      <c r="J34" s="9">
        <v>5</v>
      </c>
    </row>
    <row r="35" spans="1:10" x14ac:dyDescent="0.25">
      <c r="A35" s="10" t="s">
        <v>84</v>
      </c>
      <c r="B35" s="11" t="s">
        <v>85</v>
      </c>
      <c r="C35" s="11" t="s">
        <v>10</v>
      </c>
      <c r="D35" s="11" t="s">
        <v>25</v>
      </c>
      <c r="E35" s="11" t="s">
        <v>12</v>
      </c>
      <c r="F35" s="11" t="s">
        <v>13</v>
      </c>
      <c r="G35" s="11" t="s">
        <v>18</v>
      </c>
      <c r="H35" s="31" t="str">
        <f t="shared" si="1"/>
        <v>5 Tahun</v>
      </c>
      <c r="I35" s="12">
        <f t="shared" si="0"/>
        <v>20000000</v>
      </c>
      <c r="J35" s="13">
        <v>4</v>
      </c>
    </row>
    <row r="36" spans="1:10" x14ac:dyDescent="0.25">
      <c r="A36" s="6" t="s">
        <v>86</v>
      </c>
      <c r="B36" s="7" t="s">
        <v>87</v>
      </c>
      <c r="C36" s="7" t="s">
        <v>49</v>
      </c>
      <c r="D36" s="7" t="s">
        <v>21</v>
      </c>
      <c r="E36" s="7" t="s">
        <v>26</v>
      </c>
      <c r="F36" s="7" t="s">
        <v>13</v>
      </c>
      <c r="G36" s="7" t="s">
        <v>14</v>
      </c>
      <c r="H36" s="31" t="str">
        <f t="shared" si="1"/>
        <v xml:space="preserve">2 Tahun </v>
      </c>
      <c r="I36" s="8">
        <f t="shared" si="0"/>
        <v>15000000</v>
      </c>
      <c r="J36" s="9">
        <v>5</v>
      </c>
    </row>
    <row r="37" spans="1:10" x14ac:dyDescent="0.25">
      <c r="A37" s="10" t="s">
        <v>88</v>
      </c>
      <c r="B37" s="11" t="s">
        <v>89</v>
      </c>
      <c r="C37" s="11" t="s">
        <v>10</v>
      </c>
      <c r="D37" s="11" t="s">
        <v>25</v>
      </c>
      <c r="E37" s="11" t="s">
        <v>12</v>
      </c>
      <c r="F37" s="11" t="s">
        <v>22</v>
      </c>
      <c r="G37" s="11" t="s">
        <v>14</v>
      </c>
      <c r="H37" s="31" t="str">
        <f t="shared" si="1"/>
        <v>5 Tahun</v>
      </c>
      <c r="I37" s="12">
        <f t="shared" si="0"/>
        <v>20000000</v>
      </c>
      <c r="J37" s="13">
        <v>5</v>
      </c>
    </row>
    <row r="38" spans="1:10" x14ac:dyDescent="0.25">
      <c r="A38" s="6" t="s">
        <v>90</v>
      </c>
      <c r="B38" s="7" t="s">
        <v>91</v>
      </c>
      <c r="C38" s="7" t="s">
        <v>10</v>
      </c>
      <c r="D38" s="7" t="s">
        <v>17</v>
      </c>
      <c r="E38" s="7" t="s">
        <v>12</v>
      </c>
      <c r="F38" s="7" t="s">
        <v>22</v>
      </c>
      <c r="G38" s="7" t="s">
        <v>14</v>
      </c>
      <c r="H38" s="31" t="str">
        <f t="shared" si="1"/>
        <v>5 Tahun</v>
      </c>
      <c r="I38" s="8">
        <f t="shared" si="0"/>
        <v>20000000</v>
      </c>
      <c r="J38" s="9">
        <v>3</v>
      </c>
    </row>
    <row r="39" spans="1:10" x14ac:dyDescent="0.25">
      <c r="A39" s="10" t="s">
        <v>92</v>
      </c>
      <c r="B39" s="11" t="s">
        <v>93</v>
      </c>
      <c r="C39" s="11" t="s">
        <v>49</v>
      </c>
      <c r="D39" s="11" t="s">
        <v>11</v>
      </c>
      <c r="E39" s="11" t="s">
        <v>12</v>
      </c>
      <c r="F39" s="11" t="s">
        <v>13</v>
      </c>
      <c r="G39" s="11" t="s">
        <v>18</v>
      </c>
      <c r="H39" s="31" t="str">
        <f t="shared" si="1"/>
        <v>5 Tahun</v>
      </c>
      <c r="I39" s="12">
        <f t="shared" si="0"/>
        <v>20000000</v>
      </c>
      <c r="J39" s="13">
        <v>5</v>
      </c>
    </row>
    <row r="40" spans="1:10" x14ac:dyDescent="0.25">
      <c r="A40" s="6" t="s">
        <v>94</v>
      </c>
      <c r="B40" s="7" t="s">
        <v>95</v>
      </c>
      <c r="C40" s="7" t="s">
        <v>49</v>
      </c>
      <c r="D40" s="7" t="s">
        <v>29</v>
      </c>
      <c r="E40" s="7" t="s">
        <v>40</v>
      </c>
      <c r="F40" s="7" t="s">
        <v>13</v>
      </c>
      <c r="G40" s="7" t="s">
        <v>18</v>
      </c>
      <c r="H40" s="31" t="str">
        <f t="shared" si="1"/>
        <v>1 Tahun</v>
      </c>
      <c r="I40" s="8">
        <f t="shared" si="0"/>
        <v>7000000</v>
      </c>
      <c r="J40" s="9">
        <v>5</v>
      </c>
    </row>
    <row r="41" spans="1:10" x14ac:dyDescent="0.25">
      <c r="A41" s="10" t="s">
        <v>96</v>
      </c>
      <c r="B41" s="11" t="s">
        <v>97</v>
      </c>
      <c r="C41" s="11" t="s">
        <v>10</v>
      </c>
      <c r="D41" s="11" t="s">
        <v>17</v>
      </c>
      <c r="E41" s="11" t="s">
        <v>40</v>
      </c>
      <c r="F41" s="11" t="s">
        <v>22</v>
      </c>
      <c r="G41" s="11" t="s">
        <v>14</v>
      </c>
      <c r="H41" s="31" t="str">
        <f t="shared" si="1"/>
        <v>1 Tahun</v>
      </c>
      <c r="I41" s="12">
        <f t="shared" si="0"/>
        <v>7000000</v>
      </c>
      <c r="J41" s="13">
        <v>4</v>
      </c>
    </row>
    <row r="42" spans="1:10" x14ac:dyDescent="0.25">
      <c r="A42" s="6" t="s">
        <v>98</v>
      </c>
      <c r="B42" s="7" t="s">
        <v>99</v>
      </c>
      <c r="C42" s="7" t="s">
        <v>10</v>
      </c>
      <c r="D42" s="7" t="s">
        <v>29</v>
      </c>
      <c r="E42" s="7" t="s">
        <v>40</v>
      </c>
      <c r="F42" s="7" t="s">
        <v>22</v>
      </c>
      <c r="G42" s="7" t="s">
        <v>14</v>
      </c>
      <c r="H42" s="31" t="str">
        <f t="shared" si="1"/>
        <v>1 Tahun</v>
      </c>
      <c r="I42" s="8">
        <f t="shared" si="0"/>
        <v>7000000</v>
      </c>
      <c r="J42" s="9">
        <v>5</v>
      </c>
    </row>
    <row r="43" spans="1:10" x14ac:dyDescent="0.25">
      <c r="A43" s="10" t="s">
        <v>100</v>
      </c>
      <c r="B43" s="11" t="s">
        <v>101</v>
      </c>
      <c r="C43" s="11" t="s">
        <v>10</v>
      </c>
      <c r="D43" s="11" t="s">
        <v>25</v>
      </c>
      <c r="E43" s="11" t="s">
        <v>26</v>
      </c>
      <c r="F43" s="11" t="s">
        <v>13</v>
      </c>
      <c r="G43" s="11" t="s">
        <v>18</v>
      </c>
      <c r="H43" s="31" t="str">
        <f t="shared" si="1"/>
        <v xml:space="preserve">2 Tahun </v>
      </c>
      <c r="I43" s="12">
        <f t="shared" si="0"/>
        <v>15000000</v>
      </c>
      <c r="J43" s="13">
        <v>3</v>
      </c>
    </row>
    <row r="44" spans="1:10" x14ac:dyDescent="0.25">
      <c r="A44" s="6" t="s">
        <v>102</v>
      </c>
      <c r="B44" s="7" t="s">
        <v>103</v>
      </c>
      <c r="C44" s="7" t="s">
        <v>10</v>
      </c>
      <c r="D44" s="7" t="s">
        <v>17</v>
      </c>
      <c r="E44" s="7" t="s">
        <v>40</v>
      </c>
      <c r="F44" s="7" t="s">
        <v>22</v>
      </c>
      <c r="G44" s="7" t="s">
        <v>14</v>
      </c>
      <c r="H44" s="31" t="str">
        <f t="shared" si="1"/>
        <v>1 Tahun</v>
      </c>
      <c r="I44" s="8">
        <f t="shared" si="0"/>
        <v>7000000</v>
      </c>
      <c r="J44" s="9">
        <v>5</v>
      </c>
    </row>
    <row r="45" spans="1:10" x14ac:dyDescent="0.25">
      <c r="A45" s="10" t="s">
        <v>104</v>
      </c>
      <c r="B45" s="11" t="s">
        <v>105</v>
      </c>
      <c r="C45" s="11" t="s">
        <v>10</v>
      </c>
      <c r="D45" s="11" t="s">
        <v>21</v>
      </c>
      <c r="E45" s="11" t="s">
        <v>40</v>
      </c>
      <c r="F45" s="11" t="s">
        <v>22</v>
      </c>
      <c r="G45" s="11" t="s">
        <v>18</v>
      </c>
      <c r="H45" s="31" t="str">
        <f t="shared" si="1"/>
        <v>1 Tahun</v>
      </c>
      <c r="I45" s="12">
        <f t="shared" si="0"/>
        <v>7000000</v>
      </c>
      <c r="J45" s="13">
        <v>3</v>
      </c>
    </row>
    <row r="46" spans="1:10" x14ac:dyDescent="0.25">
      <c r="A46" s="6" t="s">
        <v>106</v>
      </c>
      <c r="B46" s="7" t="s">
        <v>107</v>
      </c>
      <c r="C46" s="7" t="s">
        <v>10</v>
      </c>
      <c r="D46" s="7" t="s">
        <v>29</v>
      </c>
      <c r="E46" s="7" t="s">
        <v>26</v>
      </c>
      <c r="F46" s="7" t="s">
        <v>13</v>
      </c>
      <c r="G46" s="7" t="s">
        <v>14</v>
      </c>
      <c r="H46" s="31" t="str">
        <f t="shared" si="1"/>
        <v xml:space="preserve">2 Tahun </v>
      </c>
      <c r="I46" s="8">
        <f t="shared" si="0"/>
        <v>15000000</v>
      </c>
      <c r="J46" s="9">
        <v>4</v>
      </c>
    </row>
    <row r="47" spans="1:10" x14ac:dyDescent="0.25">
      <c r="A47" s="10" t="s">
        <v>108</v>
      </c>
      <c r="B47" s="11" t="s">
        <v>109</v>
      </c>
      <c r="C47" s="11" t="s">
        <v>10</v>
      </c>
      <c r="D47" s="11" t="s">
        <v>29</v>
      </c>
      <c r="E47" s="11" t="s">
        <v>12</v>
      </c>
      <c r="F47" s="11" t="s">
        <v>13</v>
      </c>
      <c r="G47" s="11" t="s">
        <v>18</v>
      </c>
      <c r="H47" s="31" t="str">
        <f t="shared" si="1"/>
        <v>5 Tahun</v>
      </c>
      <c r="I47" s="12">
        <f t="shared" si="0"/>
        <v>20000000</v>
      </c>
      <c r="J47" s="13">
        <v>4</v>
      </c>
    </row>
    <row r="48" spans="1:10" x14ac:dyDescent="0.25">
      <c r="A48" s="6" t="s">
        <v>110</v>
      </c>
      <c r="B48" s="7" t="s">
        <v>111</v>
      </c>
      <c r="C48" s="7" t="s">
        <v>49</v>
      </c>
      <c r="D48" s="7" t="s">
        <v>25</v>
      </c>
      <c r="E48" s="7" t="s">
        <v>40</v>
      </c>
      <c r="F48" s="7" t="s">
        <v>13</v>
      </c>
      <c r="G48" s="7" t="s">
        <v>14</v>
      </c>
      <c r="H48" s="31" t="str">
        <f t="shared" si="1"/>
        <v>1 Tahun</v>
      </c>
      <c r="I48" s="8">
        <f t="shared" si="0"/>
        <v>7000000</v>
      </c>
      <c r="J48" s="9">
        <v>3</v>
      </c>
    </row>
    <row r="49" spans="1:12" x14ac:dyDescent="0.25">
      <c r="A49" s="10" t="s">
        <v>112</v>
      </c>
      <c r="B49" s="11" t="s">
        <v>113</v>
      </c>
      <c r="C49" s="11" t="s">
        <v>10</v>
      </c>
      <c r="D49" s="11" t="s">
        <v>17</v>
      </c>
      <c r="E49" s="11" t="s">
        <v>26</v>
      </c>
      <c r="F49" s="11" t="s">
        <v>13</v>
      </c>
      <c r="G49" s="11" t="s">
        <v>14</v>
      </c>
      <c r="H49" s="31" t="str">
        <f t="shared" si="1"/>
        <v xml:space="preserve">2 Tahun </v>
      </c>
      <c r="I49" s="12">
        <f t="shared" si="0"/>
        <v>15000000</v>
      </c>
      <c r="J49" s="13">
        <v>5</v>
      </c>
    </row>
    <row r="50" spans="1:12" x14ac:dyDescent="0.25">
      <c r="A50" s="6" t="s">
        <v>114</v>
      </c>
      <c r="B50" s="7" t="s">
        <v>115</v>
      </c>
      <c r="C50" s="7" t="s">
        <v>10</v>
      </c>
      <c r="D50" s="7" t="s">
        <v>21</v>
      </c>
      <c r="E50" s="7" t="s">
        <v>26</v>
      </c>
      <c r="F50" s="7" t="s">
        <v>22</v>
      </c>
      <c r="G50" s="7" t="s">
        <v>18</v>
      </c>
      <c r="H50" s="31" t="str">
        <f t="shared" si="1"/>
        <v xml:space="preserve">2 Tahun </v>
      </c>
      <c r="I50" s="8">
        <f t="shared" si="0"/>
        <v>15000000</v>
      </c>
      <c r="J50" s="9">
        <v>3</v>
      </c>
      <c r="L50" t="e">
        <f>TEXT(J36,"Tahun")</f>
        <v>#VALUE!</v>
      </c>
    </row>
    <row r="51" spans="1:12" x14ac:dyDescent="0.25">
      <c r="A51" s="10" t="s">
        <v>116</v>
      </c>
      <c r="B51" s="11" t="s">
        <v>117</v>
      </c>
      <c r="C51" s="11" t="s">
        <v>10</v>
      </c>
      <c r="D51" s="11" t="s">
        <v>29</v>
      </c>
      <c r="E51" s="11" t="s">
        <v>40</v>
      </c>
      <c r="F51" s="11" t="s">
        <v>22</v>
      </c>
      <c r="G51" s="11" t="s">
        <v>14</v>
      </c>
      <c r="H51" s="31" t="str">
        <f t="shared" si="1"/>
        <v>1 Tahun</v>
      </c>
      <c r="I51" s="12">
        <f t="shared" si="0"/>
        <v>7000000</v>
      </c>
      <c r="J51" s="13">
        <v>4</v>
      </c>
    </row>
    <row r="52" spans="1:12" x14ac:dyDescent="0.25">
      <c r="A52" s="6" t="s">
        <v>118</v>
      </c>
      <c r="B52" s="7" t="s">
        <v>119</v>
      </c>
      <c r="C52" s="7" t="s">
        <v>10</v>
      </c>
      <c r="D52" s="7" t="s">
        <v>17</v>
      </c>
      <c r="E52" s="7" t="s">
        <v>26</v>
      </c>
      <c r="F52" s="7" t="s">
        <v>22</v>
      </c>
      <c r="G52" s="7" t="s">
        <v>18</v>
      </c>
      <c r="H52" s="31" t="str">
        <f t="shared" si="1"/>
        <v xml:space="preserve">2 Tahun </v>
      </c>
      <c r="I52" s="8">
        <f t="shared" si="0"/>
        <v>15000000</v>
      </c>
      <c r="J52" s="9">
        <v>3</v>
      </c>
    </row>
    <row r="53" spans="1:12" x14ac:dyDescent="0.25">
      <c r="A53" s="10" t="s">
        <v>120</v>
      </c>
      <c r="B53" s="11" t="s">
        <v>121</v>
      </c>
      <c r="C53" s="11" t="s">
        <v>10</v>
      </c>
      <c r="D53" s="11" t="s">
        <v>21</v>
      </c>
      <c r="E53" s="11" t="s">
        <v>12</v>
      </c>
      <c r="F53" s="11" t="s">
        <v>13</v>
      </c>
      <c r="G53" s="11" t="s">
        <v>18</v>
      </c>
      <c r="H53" s="31" t="str">
        <f t="shared" si="1"/>
        <v>5 Tahun</v>
      </c>
      <c r="I53" s="12">
        <f t="shared" si="0"/>
        <v>20000000</v>
      </c>
      <c r="J53" s="13">
        <v>5</v>
      </c>
    </row>
    <row r="54" spans="1:12" x14ac:dyDescent="0.25">
      <c r="A54" s="6" t="s">
        <v>122</v>
      </c>
      <c r="B54" s="7" t="s">
        <v>123</v>
      </c>
      <c r="C54" s="7" t="s">
        <v>10</v>
      </c>
      <c r="D54" s="7" t="s">
        <v>21</v>
      </c>
      <c r="E54" s="7" t="s">
        <v>12</v>
      </c>
      <c r="F54" s="7" t="s">
        <v>22</v>
      </c>
      <c r="G54" s="7" t="s">
        <v>14</v>
      </c>
      <c r="H54" s="31" t="str">
        <f t="shared" si="1"/>
        <v>5 Tahun</v>
      </c>
      <c r="I54" s="8">
        <f t="shared" si="0"/>
        <v>20000000</v>
      </c>
      <c r="J54" s="9">
        <v>4</v>
      </c>
    </row>
    <row r="55" spans="1:12" x14ac:dyDescent="0.25">
      <c r="A55" s="10" t="s">
        <v>124</v>
      </c>
      <c r="B55" s="11" t="s">
        <v>125</v>
      </c>
      <c r="C55" s="11" t="s">
        <v>10</v>
      </c>
      <c r="D55" s="11" t="s">
        <v>29</v>
      </c>
      <c r="E55" s="11" t="s">
        <v>12</v>
      </c>
      <c r="F55" s="11" t="s">
        <v>13</v>
      </c>
      <c r="G55" s="11" t="s">
        <v>18</v>
      </c>
      <c r="H55" s="31" t="str">
        <f t="shared" si="1"/>
        <v>5 Tahun</v>
      </c>
      <c r="I55" s="12">
        <f t="shared" si="0"/>
        <v>20000000</v>
      </c>
      <c r="J55" s="13">
        <v>3</v>
      </c>
    </row>
    <row r="56" spans="1:12" x14ac:dyDescent="0.25">
      <c r="A56" s="6" t="s">
        <v>126</v>
      </c>
      <c r="B56" s="7" t="s">
        <v>127</v>
      </c>
      <c r="C56" s="7" t="s">
        <v>49</v>
      </c>
      <c r="D56" s="7" t="s">
        <v>21</v>
      </c>
      <c r="E56" s="7" t="s">
        <v>12</v>
      </c>
      <c r="F56" s="7" t="s">
        <v>22</v>
      </c>
      <c r="G56" s="7" t="s">
        <v>14</v>
      </c>
      <c r="H56" s="31" t="str">
        <f t="shared" si="1"/>
        <v>5 Tahun</v>
      </c>
      <c r="I56" s="8">
        <f t="shared" si="0"/>
        <v>20000000</v>
      </c>
      <c r="J56" s="9">
        <v>3</v>
      </c>
    </row>
    <row r="57" spans="1:12" x14ac:dyDescent="0.25">
      <c r="A57" s="10" t="s">
        <v>128</v>
      </c>
      <c r="B57" s="11" t="s">
        <v>129</v>
      </c>
      <c r="C57" s="11" t="s">
        <v>10</v>
      </c>
      <c r="D57" s="11" t="s">
        <v>11</v>
      </c>
      <c r="E57" s="11" t="s">
        <v>40</v>
      </c>
      <c r="F57" s="11" t="s">
        <v>22</v>
      </c>
      <c r="G57" s="11" t="s">
        <v>18</v>
      </c>
      <c r="H57" s="31" t="str">
        <f t="shared" si="1"/>
        <v>1 Tahun</v>
      </c>
      <c r="I57" s="12">
        <f t="shared" si="0"/>
        <v>7000000</v>
      </c>
      <c r="J57" s="13">
        <v>3</v>
      </c>
    </row>
    <row r="58" spans="1:12" x14ac:dyDescent="0.25">
      <c r="A58" s="6" t="s">
        <v>130</v>
      </c>
      <c r="B58" s="7" t="s">
        <v>131</v>
      </c>
      <c r="C58" s="7" t="s">
        <v>10</v>
      </c>
      <c r="D58" s="7" t="s">
        <v>21</v>
      </c>
      <c r="E58" s="7" t="s">
        <v>40</v>
      </c>
      <c r="F58" s="7" t="s">
        <v>13</v>
      </c>
      <c r="G58" s="7" t="s">
        <v>14</v>
      </c>
      <c r="H58" s="31" t="str">
        <f t="shared" si="1"/>
        <v>1 Tahun</v>
      </c>
      <c r="I58" s="8">
        <f t="shared" si="0"/>
        <v>7000000</v>
      </c>
      <c r="J58" s="9">
        <v>3</v>
      </c>
    </row>
    <row r="59" spans="1:12" x14ac:dyDescent="0.25">
      <c r="A59" s="10" t="s">
        <v>132</v>
      </c>
      <c r="B59" s="11" t="s">
        <v>133</v>
      </c>
      <c r="C59" s="11" t="s">
        <v>49</v>
      </c>
      <c r="D59" s="11" t="s">
        <v>11</v>
      </c>
      <c r="E59" s="11" t="s">
        <v>40</v>
      </c>
      <c r="F59" s="11" t="s">
        <v>13</v>
      </c>
      <c r="G59" s="11" t="s">
        <v>18</v>
      </c>
      <c r="H59" s="31" t="str">
        <f t="shared" si="1"/>
        <v>1 Tahun</v>
      </c>
      <c r="I59" s="12">
        <f t="shared" si="0"/>
        <v>7000000</v>
      </c>
      <c r="J59" s="13">
        <v>3</v>
      </c>
    </row>
    <row r="60" spans="1:12" x14ac:dyDescent="0.25">
      <c r="A60" s="6" t="s">
        <v>134</v>
      </c>
      <c r="B60" s="7" t="s">
        <v>135</v>
      </c>
      <c r="C60" s="7" t="s">
        <v>49</v>
      </c>
      <c r="D60" s="7" t="s">
        <v>11</v>
      </c>
      <c r="E60" s="7" t="s">
        <v>40</v>
      </c>
      <c r="F60" s="7" t="s">
        <v>22</v>
      </c>
      <c r="G60" s="7" t="s">
        <v>18</v>
      </c>
      <c r="H60" s="31" t="str">
        <f t="shared" si="1"/>
        <v>1 Tahun</v>
      </c>
      <c r="I60" s="8">
        <f t="shared" si="0"/>
        <v>7000000</v>
      </c>
      <c r="J60" s="9">
        <v>5</v>
      </c>
    </row>
    <row r="61" spans="1:12" x14ac:dyDescent="0.25">
      <c r="A61" s="10" t="s">
        <v>136</v>
      </c>
      <c r="B61" s="11" t="s">
        <v>137</v>
      </c>
      <c r="C61" s="11" t="s">
        <v>10</v>
      </c>
      <c r="D61" s="11" t="s">
        <v>21</v>
      </c>
      <c r="E61" s="11" t="s">
        <v>40</v>
      </c>
      <c r="F61" s="11" t="s">
        <v>22</v>
      </c>
      <c r="G61" s="11" t="s">
        <v>18</v>
      </c>
      <c r="H61" s="31" t="str">
        <f t="shared" si="1"/>
        <v>1 Tahun</v>
      </c>
      <c r="I61" s="12">
        <f t="shared" si="0"/>
        <v>7000000</v>
      </c>
      <c r="J61" s="13">
        <v>4</v>
      </c>
    </row>
    <row r="62" spans="1:12" x14ac:dyDescent="0.25">
      <c r="A62" s="6" t="s">
        <v>138</v>
      </c>
      <c r="B62" s="7" t="s">
        <v>139</v>
      </c>
      <c r="C62" s="7" t="s">
        <v>49</v>
      </c>
      <c r="D62" s="7" t="s">
        <v>21</v>
      </c>
      <c r="E62" s="7" t="s">
        <v>26</v>
      </c>
      <c r="F62" s="7" t="s">
        <v>13</v>
      </c>
      <c r="G62" s="7" t="s">
        <v>14</v>
      </c>
      <c r="H62" s="31" t="str">
        <f t="shared" si="1"/>
        <v xml:space="preserve">2 Tahun </v>
      </c>
      <c r="I62" s="8">
        <f t="shared" si="0"/>
        <v>15000000</v>
      </c>
      <c r="J62" s="9">
        <v>5</v>
      </c>
    </row>
    <row r="63" spans="1:12" x14ac:dyDescent="0.25">
      <c r="A63" s="10" t="s">
        <v>140</v>
      </c>
      <c r="B63" s="11" t="s">
        <v>141</v>
      </c>
      <c r="C63" s="11" t="s">
        <v>10</v>
      </c>
      <c r="D63" s="11" t="s">
        <v>11</v>
      </c>
      <c r="E63" s="11" t="s">
        <v>26</v>
      </c>
      <c r="F63" s="11" t="s">
        <v>22</v>
      </c>
      <c r="G63" s="11" t="s">
        <v>14</v>
      </c>
      <c r="H63" s="31" t="str">
        <f t="shared" si="1"/>
        <v xml:space="preserve">2 Tahun </v>
      </c>
      <c r="I63" s="12">
        <f t="shared" si="0"/>
        <v>15000000</v>
      </c>
      <c r="J63" s="13">
        <v>4</v>
      </c>
    </row>
    <row r="64" spans="1:12" x14ac:dyDescent="0.25">
      <c r="A64" s="6" t="s">
        <v>142</v>
      </c>
      <c r="B64" s="7" t="s">
        <v>143</v>
      </c>
      <c r="C64" s="7" t="s">
        <v>49</v>
      </c>
      <c r="D64" s="7" t="s">
        <v>25</v>
      </c>
      <c r="E64" s="7" t="s">
        <v>12</v>
      </c>
      <c r="F64" s="7" t="s">
        <v>13</v>
      </c>
      <c r="G64" s="7" t="s">
        <v>14</v>
      </c>
      <c r="H64" s="31" t="str">
        <f t="shared" si="1"/>
        <v>5 Tahun</v>
      </c>
      <c r="I64" s="8">
        <f t="shared" si="0"/>
        <v>20000000</v>
      </c>
      <c r="J64" s="9">
        <v>4</v>
      </c>
    </row>
    <row r="65" spans="1:10" x14ac:dyDescent="0.25">
      <c r="A65" s="10" t="s">
        <v>144</v>
      </c>
      <c r="B65" s="11" t="s">
        <v>145</v>
      </c>
      <c r="C65" s="11" t="s">
        <v>10</v>
      </c>
      <c r="D65" s="11" t="s">
        <v>21</v>
      </c>
      <c r="E65" s="11" t="s">
        <v>40</v>
      </c>
      <c r="F65" s="11" t="s">
        <v>13</v>
      </c>
      <c r="G65" s="11" t="s">
        <v>18</v>
      </c>
      <c r="H65" s="31" t="str">
        <f t="shared" si="1"/>
        <v>1 Tahun</v>
      </c>
      <c r="I65" s="12">
        <f t="shared" si="0"/>
        <v>7000000</v>
      </c>
      <c r="J65" s="13">
        <v>4</v>
      </c>
    </row>
    <row r="66" spans="1:10" x14ac:dyDescent="0.25">
      <c r="A66" s="6" t="s">
        <v>146</v>
      </c>
      <c r="B66" s="7" t="s">
        <v>147</v>
      </c>
      <c r="C66" s="7" t="s">
        <v>10</v>
      </c>
      <c r="D66" s="7" t="s">
        <v>21</v>
      </c>
      <c r="E66" s="7" t="s">
        <v>26</v>
      </c>
      <c r="F66" s="7" t="s">
        <v>13</v>
      </c>
      <c r="G66" s="7" t="s">
        <v>14</v>
      </c>
      <c r="H66" s="31" t="str">
        <f t="shared" si="1"/>
        <v xml:space="preserve">2 Tahun </v>
      </c>
      <c r="I66" s="8">
        <f t="shared" si="0"/>
        <v>15000000</v>
      </c>
      <c r="J66" s="9">
        <v>5</v>
      </c>
    </row>
    <row r="67" spans="1:10" x14ac:dyDescent="0.25">
      <c r="A67" s="10" t="s">
        <v>148</v>
      </c>
      <c r="B67" s="11" t="s">
        <v>149</v>
      </c>
      <c r="C67" s="11" t="s">
        <v>49</v>
      </c>
      <c r="D67" s="11" t="s">
        <v>11</v>
      </c>
      <c r="E67" s="11" t="s">
        <v>40</v>
      </c>
      <c r="F67" s="11" t="s">
        <v>13</v>
      </c>
      <c r="G67" s="11" t="s">
        <v>14</v>
      </c>
      <c r="H67" s="31" t="str">
        <f t="shared" si="1"/>
        <v>1 Tahun</v>
      </c>
      <c r="I67" s="12">
        <f t="shared" si="0"/>
        <v>7000000</v>
      </c>
      <c r="J67" s="13">
        <v>3</v>
      </c>
    </row>
    <row r="68" spans="1:10" x14ac:dyDescent="0.25">
      <c r="A68" s="6" t="s">
        <v>150</v>
      </c>
      <c r="B68" s="7" t="s">
        <v>151</v>
      </c>
      <c r="C68" s="7" t="s">
        <v>49</v>
      </c>
      <c r="D68" s="7" t="s">
        <v>17</v>
      </c>
      <c r="E68" s="7" t="s">
        <v>26</v>
      </c>
      <c r="F68" s="7" t="s">
        <v>22</v>
      </c>
      <c r="G68" s="7" t="s">
        <v>14</v>
      </c>
      <c r="H68" s="31" t="str">
        <f t="shared" si="1"/>
        <v xml:space="preserve">2 Tahun </v>
      </c>
      <c r="I68" s="8">
        <f t="shared" si="0"/>
        <v>15000000</v>
      </c>
      <c r="J68" s="9">
        <v>4</v>
      </c>
    </row>
    <row r="69" spans="1:10" x14ac:dyDescent="0.25">
      <c r="A69" s="10" t="s">
        <v>152</v>
      </c>
      <c r="B69" s="11" t="s">
        <v>153</v>
      </c>
      <c r="C69" s="11" t="s">
        <v>49</v>
      </c>
      <c r="D69" s="11" t="s">
        <v>17</v>
      </c>
      <c r="E69" s="11" t="s">
        <v>26</v>
      </c>
      <c r="F69" s="11" t="s">
        <v>13</v>
      </c>
      <c r="G69" s="11" t="s">
        <v>14</v>
      </c>
      <c r="H69" s="31" t="str">
        <f t="shared" si="1"/>
        <v xml:space="preserve">2 Tahun </v>
      </c>
      <c r="I69" s="12">
        <f t="shared" ref="I69:I132" si="2">IF(E69="Manager",20000000,IF(E69="Senior",15000000,7000000))</f>
        <v>15000000</v>
      </c>
      <c r="J69" s="13">
        <v>4</v>
      </c>
    </row>
    <row r="70" spans="1:10" x14ac:dyDescent="0.25">
      <c r="A70" s="6" t="s">
        <v>154</v>
      </c>
      <c r="B70" s="7" t="s">
        <v>155</v>
      </c>
      <c r="C70" s="7" t="s">
        <v>49</v>
      </c>
      <c r="D70" s="7" t="s">
        <v>17</v>
      </c>
      <c r="E70" s="7" t="s">
        <v>40</v>
      </c>
      <c r="F70" s="7" t="s">
        <v>22</v>
      </c>
      <c r="G70" s="7" t="s">
        <v>14</v>
      </c>
      <c r="H70" s="31" t="str">
        <f t="shared" si="1"/>
        <v>1 Tahun</v>
      </c>
      <c r="I70" s="8">
        <f t="shared" si="2"/>
        <v>7000000</v>
      </c>
      <c r="J70" s="9">
        <v>4</v>
      </c>
    </row>
    <row r="71" spans="1:10" x14ac:dyDescent="0.25">
      <c r="A71" s="10" t="s">
        <v>156</v>
      </c>
      <c r="B71" s="11" t="s">
        <v>157</v>
      </c>
      <c r="C71" s="11" t="s">
        <v>49</v>
      </c>
      <c r="D71" s="11" t="s">
        <v>25</v>
      </c>
      <c r="E71" s="11" t="s">
        <v>26</v>
      </c>
      <c r="F71" s="11" t="s">
        <v>22</v>
      </c>
      <c r="G71" s="11" t="s">
        <v>14</v>
      </c>
      <c r="H71" s="31" t="str">
        <f t="shared" ref="H71:H134" si="3">IF(E71="Manager","5 Tahun",IF(E71="Senior","2 Tahun ","1 Tahun"))</f>
        <v xml:space="preserve">2 Tahun </v>
      </c>
      <c r="I71" s="12">
        <f t="shared" si="2"/>
        <v>15000000</v>
      </c>
      <c r="J71" s="13">
        <v>5</v>
      </c>
    </row>
    <row r="72" spans="1:10" x14ac:dyDescent="0.25">
      <c r="A72" s="6" t="s">
        <v>158</v>
      </c>
      <c r="B72" s="7" t="s">
        <v>159</v>
      </c>
      <c r="C72" s="7" t="s">
        <v>49</v>
      </c>
      <c r="D72" s="7" t="s">
        <v>17</v>
      </c>
      <c r="E72" s="7" t="s">
        <v>12</v>
      </c>
      <c r="F72" s="7" t="s">
        <v>22</v>
      </c>
      <c r="G72" s="7" t="s">
        <v>18</v>
      </c>
      <c r="H72" s="31" t="str">
        <f t="shared" si="3"/>
        <v>5 Tahun</v>
      </c>
      <c r="I72" s="8">
        <f t="shared" si="2"/>
        <v>20000000</v>
      </c>
      <c r="J72" s="9">
        <v>5</v>
      </c>
    </row>
    <row r="73" spans="1:10" x14ac:dyDescent="0.25">
      <c r="A73" s="10" t="s">
        <v>160</v>
      </c>
      <c r="B73" s="11" t="s">
        <v>161</v>
      </c>
      <c r="C73" s="11" t="s">
        <v>49</v>
      </c>
      <c r="D73" s="11" t="s">
        <v>21</v>
      </c>
      <c r="E73" s="11" t="s">
        <v>40</v>
      </c>
      <c r="F73" s="11" t="s">
        <v>13</v>
      </c>
      <c r="G73" s="11" t="s">
        <v>14</v>
      </c>
      <c r="H73" s="31" t="str">
        <f t="shared" si="3"/>
        <v>1 Tahun</v>
      </c>
      <c r="I73" s="12">
        <f t="shared" si="2"/>
        <v>7000000</v>
      </c>
      <c r="J73" s="13">
        <v>5</v>
      </c>
    </row>
    <row r="74" spans="1:10" x14ac:dyDescent="0.25">
      <c r="A74" s="6" t="s">
        <v>162</v>
      </c>
      <c r="B74" s="7" t="s">
        <v>163</v>
      </c>
      <c r="C74" s="7" t="s">
        <v>10</v>
      </c>
      <c r="D74" s="7" t="s">
        <v>29</v>
      </c>
      <c r="E74" s="7" t="s">
        <v>26</v>
      </c>
      <c r="F74" s="7" t="s">
        <v>13</v>
      </c>
      <c r="G74" s="7" t="s">
        <v>18</v>
      </c>
      <c r="H74" s="31" t="str">
        <f t="shared" si="3"/>
        <v xml:space="preserve">2 Tahun </v>
      </c>
      <c r="I74" s="8">
        <f t="shared" si="2"/>
        <v>15000000</v>
      </c>
      <c r="J74" s="9">
        <v>4</v>
      </c>
    </row>
    <row r="75" spans="1:10" x14ac:dyDescent="0.25">
      <c r="A75" s="10" t="s">
        <v>164</v>
      </c>
      <c r="B75" s="11" t="s">
        <v>165</v>
      </c>
      <c r="C75" s="11" t="s">
        <v>10</v>
      </c>
      <c r="D75" s="11" t="s">
        <v>29</v>
      </c>
      <c r="E75" s="11" t="s">
        <v>26</v>
      </c>
      <c r="F75" s="11" t="s">
        <v>22</v>
      </c>
      <c r="G75" s="11" t="s">
        <v>14</v>
      </c>
      <c r="H75" s="31" t="str">
        <f t="shared" si="3"/>
        <v xml:space="preserve">2 Tahun </v>
      </c>
      <c r="I75" s="12">
        <f t="shared" si="2"/>
        <v>15000000</v>
      </c>
      <c r="J75" s="13">
        <v>3</v>
      </c>
    </row>
    <row r="76" spans="1:10" x14ac:dyDescent="0.25">
      <c r="A76" s="6" t="s">
        <v>166</v>
      </c>
      <c r="B76" s="7" t="s">
        <v>167</v>
      </c>
      <c r="C76" s="7" t="s">
        <v>10</v>
      </c>
      <c r="D76" s="7" t="s">
        <v>17</v>
      </c>
      <c r="E76" s="7" t="s">
        <v>12</v>
      </c>
      <c r="F76" s="7" t="s">
        <v>22</v>
      </c>
      <c r="G76" s="7" t="s">
        <v>18</v>
      </c>
      <c r="H76" s="31" t="str">
        <f t="shared" si="3"/>
        <v>5 Tahun</v>
      </c>
      <c r="I76" s="8">
        <f t="shared" si="2"/>
        <v>20000000</v>
      </c>
      <c r="J76" s="9">
        <v>3</v>
      </c>
    </row>
    <row r="77" spans="1:10" x14ac:dyDescent="0.25">
      <c r="A77" s="10" t="s">
        <v>168</v>
      </c>
      <c r="B77" s="11" t="s">
        <v>169</v>
      </c>
      <c r="C77" s="11" t="s">
        <v>49</v>
      </c>
      <c r="D77" s="11" t="s">
        <v>21</v>
      </c>
      <c r="E77" s="11" t="s">
        <v>26</v>
      </c>
      <c r="F77" s="11" t="s">
        <v>13</v>
      </c>
      <c r="G77" s="11" t="s">
        <v>18</v>
      </c>
      <c r="H77" s="31" t="str">
        <f t="shared" si="3"/>
        <v xml:space="preserve">2 Tahun </v>
      </c>
      <c r="I77" s="12">
        <f t="shared" si="2"/>
        <v>15000000</v>
      </c>
      <c r="J77" s="13">
        <v>4</v>
      </c>
    </row>
    <row r="78" spans="1:10" x14ac:dyDescent="0.25">
      <c r="A78" s="6" t="s">
        <v>170</v>
      </c>
      <c r="B78" s="7" t="s">
        <v>171</v>
      </c>
      <c r="C78" s="7" t="s">
        <v>10</v>
      </c>
      <c r="D78" s="7" t="s">
        <v>11</v>
      </c>
      <c r="E78" s="7" t="s">
        <v>12</v>
      </c>
      <c r="F78" s="7" t="s">
        <v>13</v>
      </c>
      <c r="G78" s="7" t="s">
        <v>14</v>
      </c>
      <c r="H78" s="31" t="str">
        <f t="shared" si="3"/>
        <v>5 Tahun</v>
      </c>
      <c r="I78" s="8">
        <f t="shared" si="2"/>
        <v>20000000</v>
      </c>
      <c r="J78" s="9">
        <v>3</v>
      </c>
    </row>
    <row r="79" spans="1:10" x14ac:dyDescent="0.25">
      <c r="A79" s="10" t="s">
        <v>172</v>
      </c>
      <c r="B79" s="11" t="s">
        <v>173</v>
      </c>
      <c r="C79" s="11" t="s">
        <v>10</v>
      </c>
      <c r="D79" s="11" t="s">
        <v>29</v>
      </c>
      <c r="E79" s="11" t="s">
        <v>12</v>
      </c>
      <c r="F79" s="11" t="s">
        <v>22</v>
      </c>
      <c r="G79" s="11" t="s">
        <v>18</v>
      </c>
      <c r="H79" s="31" t="str">
        <f t="shared" si="3"/>
        <v>5 Tahun</v>
      </c>
      <c r="I79" s="12">
        <f t="shared" si="2"/>
        <v>20000000</v>
      </c>
      <c r="J79" s="13">
        <v>4</v>
      </c>
    </row>
    <row r="80" spans="1:10" x14ac:dyDescent="0.25">
      <c r="A80" s="6" t="s">
        <v>174</v>
      </c>
      <c r="B80" s="7" t="s">
        <v>175</v>
      </c>
      <c r="C80" s="7" t="s">
        <v>10</v>
      </c>
      <c r="D80" s="7" t="s">
        <v>25</v>
      </c>
      <c r="E80" s="7" t="s">
        <v>26</v>
      </c>
      <c r="F80" s="7" t="s">
        <v>22</v>
      </c>
      <c r="G80" s="7" t="s">
        <v>14</v>
      </c>
      <c r="H80" s="31" t="str">
        <f t="shared" si="3"/>
        <v xml:space="preserve">2 Tahun </v>
      </c>
      <c r="I80" s="8">
        <f t="shared" si="2"/>
        <v>15000000</v>
      </c>
      <c r="J80" s="9">
        <v>5</v>
      </c>
    </row>
    <row r="81" spans="1:10" x14ac:dyDescent="0.25">
      <c r="A81" s="10" t="s">
        <v>176</v>
      </c>
      <c r="B81" s="11" t="s">
        <v>177</v>
      </c>
      <c r="C81" s="11" t="s">
        <v>10</v>
      </c>
      <c r="D81" s="11" t="s">
        <v>11</v>
      </c>
      <c r="E81" s="11" t="s">
        <v>26</v>
      </c>
      <c r="F81" s="11" t="s">
        <v>22</v>
      </c>
      <c r="G81" s="11" t="s">
        <v>18</v>
      </c>
      <c r="H81" s="31" t="str">
        <f t="shared" si="3"/>
        <v xml:space="preserve">2 Tahun </v>
      </c>
      <c r="I81" s="12">
        <f t="shared" si="2"/>
        <v>15000000</v>
      </c>
      <c r="J81" s="13">
        <v>5</v>
      </c>
    </row>
    <row r="82" spans="1:10" x14ac:dyDescent="0.25">
      <c r="A82" s="6" t="s">
        <v>178</v>
      </c>
      <c r="B82" s="7" t="s">
        <v>179</v>
      </c>
      <c r="C82" s="7" t="s">
        <v>10</v>
      </c>
      <c r="D82" s="7" t="s">
        <v>21</v>
      </c>
      <c r="E82" s="7" t="s">
        <v>12</v>
      </c>
      <c r="F82" s="7" t="s">
        <v>22</v>
      </c>
      <c r="G82" s="7" t="s">
        <v>18</v>
      </c>
      <c r="H82" s="31" t="str">
        <f t="shared" si="3"/>
        <v>5 Tahun</v>
      </c>
      <c r="I82" s="8">
        <f t="shared" si="2"/>
        <v>20000000</v>
      </c>
      <c r="J82" s="9">
        <v>5</v>
      </c>
    </row>
    <row r="83" spans="1:10" x14ac:dyDescent="0.25">
      <c r="A83" s="10" t="s">
        <v>180</v>
      </c>
      <c r="B83" s="11" t="s">
        <v>181</v>
      </c>
      <c r="C83" s="11" t="s">
        <v>10</v>
      </c>
      <c r="D83" s="11" t="s">
        <v>25</v>
      </c>
      <c r="E83" s="11" t="s">
        <v>12</v>
      </c>
      <c r="F83" s="11" t="s">
        <v>13</v>
      </c>
      <c r="G83" s="11" t="s">
        <v>14</v>
      </c>
      <c r="H83" s="31" t="str">
        <f t="shared" si="3"/>
        <v>5 Tahun</v>
      </c>
      <c r="I83" s="12">
        <f t="shared" si="2"/>
        <v>20000000</v>
      </c>
      <c r="J83" s="13">
        <v>4</v>
      </c>
    </row>
    <row r="84" spans="1:10" x14ac:dyDescent="0.25">
      <c r="A84" s="6" t="s">
        <v>182</v>
      </c>
      <c r="B84" s="7" t="s">
        <v>183</v>
      </c>
      <c r="C84" s="7" t="s">
        <v>10</v>
      </c>
      <c r="D84" s="7" t="s">
        <v>21</v>
      </c>
      <c r="E84" s="7" t="s">
        <v>12</v>
      </c>
      <c r="F84" s="7" t="s">
        <v>13</v>
      </c>
      <c r="G84" s="7" t="s">
        <v>14</v>
      </c>
      <c r="H84" s="31" t="str">
        <f t="shared" si="3"/>
        <v>5 Tahun</v>
      </c>
      <c r="I84" s="8">
        <f t="shared" si="2"/>
        <v>20000000</v>
      </c>
      <c r="J84" s="9">
        <v>5</v>
      </c>
    </row>
    <row r="85" spans="1:10" x14ac:dyDescent="0.25">
      <c r="A85" s="10" t="s">
        <v>184</v>
      </c>
      <c r="B85" s="11" t="s">
        <v>185</v>
      </c>
      <c r="C85" s="11" t="s">
        <v>10</v>
      </c>
      <c r="D85" s="11" t="s">
        <v>25</v>
      </c>
      <c r="E85" s="11" t="s">
        <v>26</v>
      </c>
      <c r="F85" s="11" t="s">
        <v>13</v>
      </c>
      <c r="G85" s="11" t="s">
        <v>18</v>
      </c>
      <c r="H85" s="31" t="str">
        <f t="shared" si="3"/>
        <v xml:space="preserve">2 Tahun </v>
      </c>
      <c r="I85" s="12">
        <f t="shared" si="2"/>
        <v>15000000</v>
      </c>
      <c r="J85" s="13">
        <v>3</v>
      </c>
    </row>
    <row r="86" spans="1:10" x14ac:dyDescent="0.25">
      <c r="A86" s="6" t="s">
        <v>186</v>
      </c>
      <c r="B86" s="7" t="s">
        <v>187</v>
      </c>
      <c r="C86" s="7" t="s">
        <v>10</v>
      </c>
      <c r="D86" s="7" t="s">
        <v>17</v>
      </c>
      <c r="E86" s="7" t="s">
        <v>12</v>
      </c>
      <c r="F86" s="7" t="s">
        <v>22</v>
      </c>
      <c r="G86" s="7" t="s">
        <v>18</v>
      </c>
      <c r="H86" s="31" t="str">
        <f t="shared" si="3"/>
        <v>5 Tahun</v>
      </c>
      <c r="I86" s="8">
        <f t="shared" si="2"/>
        <v>20000000</v>
      </c>
      <c r="J86" s="9">
        <v>3</v>
      </c>
    </row>
    <row r="87" spans="1:10" x14ac:dyDescent="0.25">
      <c r="A87" s="10" t="s">
        <v>188</v>
      </c>
      <c r="B87" s="11" t="s">
        <v>189</v>
      </c>
      <c r="C87" s="11" t="s">
        <v>10</v>
      </c>
      <c r="D87" s="11" t="s">
        <v>29</v>
      </c>
      <c r="E87" s="11" t="s">
        <v>26</v>
      </c>
      <c r="F87" s="11" t="s">
        <v>13</v>
      </c>
      <c r="G87" s="11" t="s">
        <v>18</v>
      </c>
      <c r="H87" s="31" t="str">
        <f t="shared" si="3"/>
        <v xml:space="preserve">2 Tahun </v>
      </c>
      <c r="I87" s="12">
        <f t="shared" si="2"/>
        <v>15000000</v>
      </c>
      <c r="J87" s="13">
        <v>4</v>
      </c>
    </row>
    <row r="88" spans="1:10" x14ac:dyDescent="0.25">
      <c r="A88" s="6" t="s">
        <v>190</v>
      </c>
      <c r="B88" s="7" t="s">
        <v>191</v>
      </c>
      <c r="C88" s="7" t="s">
        <v>10</v>
      </c>
      <c r="D88" s="7" t="s">
        <v>25</v>
      </c>
      <c r="E88" s="7" t="s">
        <v>12</v>
      </c>
      <c r="F88" s="7" t="s">
        <v>22</v>
      </c>
      <c r="G88" s="7" t="s">
        <v>14</v>
      </c>
      <c r="H88" s="31" t="str">
        <f t="shared" si="3"/>
        <v>5 Tahun</v>
      </c>
      <c r="I88" s="8">
        <f t="shared" si="2"/>
        <v>20000000</v>
      </c>
      <c r="J88" s="9">
        <v>5</v>
      </c>
    </row>
    <row r="89" spans="1:10" x14ac:dyDescent="0.25">
      <c r="A89" s="10" t="s">
        <v>192</v>
      </c>
      <c r="B89" s="11" t="s">
        <v>193</v>
      </c>
      <c r="C89" s="11" t="s">
        <v>49</v>
      </c>
      <c r="D89" s="11" t="s">
        <v>17</v>
      </c>
      <c r="E89" s="11" t="s">
        <v>40</v>
      </c>
      <c r="F89" s="11" t="s">
        <v>22</v>
      </c>
      <c r="G89" s="11" t="s">
        <v>18</v>
      </c>
      <c r="H89" s="31" t="str">
        <f t="shared" si="3"/>
        <v>1 Tahun</v>
      </c>
      <c r="I89" s="12">
        <f t="shared" si="2"/>
        <v>7000000</v>
      </c>
      <c r="J89" s="13">
        <v>4</v>
      </c>
    </row>
    <row r="90" spans="1:10" x14ac:dyDescent="0.25">
      <c r="A90" s="6" t="s">
        <v>194</v>
      </c>
      <c r="B90" s="7" t="s">
        <v>195</v>
      </c>
      <c r="C90" s="7" t="s">
        <v>10</v>
      </c>
      <c r="D90" s="7" t="s">
        <v>17</v>
      </c>
      <c r="E90" s="7" t="s">
        <v>40</v>
      </c>
      <c r="F90" s="7" t="s">
        <v>22</v>
      </c>
      <c r="G90" s="7" t="s">
        <v>14</v>
      </c>
      <c r="H90" s="31" t="str">
        <f t="shared" si="3"/>
        <v>1 Tahun</v>
      </c>
      <c r="I90" s="8">
        <f t="shared" si="2"/>
        <v>7000000</v>
      </c>
      <c r="J90" s="9">
        <v>3</v>
      </c>
    </row>
    <row r="91" spans="1:10" x14ac:dyDescent="0.25">
      <c r="A91" s="10" t="s">
        <v>196</v>
      </c>
      <c r="B91" s="11" t="s">
        <v>197</v>
      </c>
      <c r="C91" s="11" t="s">
        <v>10</v>
      </c>
      <c r="D91" s="11" t="s">
        <v>21</v>
      </c>
      <c r="E91" s="11" t="s">
        <v>12</v>
      </c>
      <c r="F91" s="11" t="s">
        <v>22</v>
      </c>
      <c r="G91" s="11" t="s">
        <v>14</v>
      </c>
      <c r="H91" s="31" t="str">
        <f t="shared" si="3"/>
        <v>5 Tahun</v>
      </c>
      <c r="I91" s="12">
        <f t="shared" si="2"/>
        <v>20000000</v>
      </c>
      <c r="J91" s="13">
        <v>5</v>
      </c>
    </row>
    <row r="92" spans="1:10" x14ac:dyDescent="0.25">
      <c r="A92" s="6" t="s">
        <v>198</v>
      </c>
      <c r="B92" s="7" t="s">
        <v>199</v>
      </c>
      <c r="C92" s="7" t="s">
        <v>10</v>
      </c>
      <c r="D92" s="7" t="s">
        <v>21</v>
      </c>
      <c r="E92" s="7" t="s">
        <v>40</v>
      </c>
      <c r="F92" s="7" t="s">
        <v>13</v>
      </c>
      <c r="G92" s="7" t="s">
        <v>14</v>
      </c>
      <c r="H92" s="31" t="str">
        <f t="shared" si="3"/>
        <v>1 Tahun</v>
      </c>
      <c r="I92" s="8">
        <f t="shared" si="2"/>
        <v>7000000</v>
      </c>
      <c r="J92" s="9">
        <v>4</v>
      </c>
    </row>
    <row r="93" spans="1:10" x14ac:dyDescent="0.25">
      <c r="A93" s="10" t="s">
        <v>200</v>
      </c>
      <c r="B93" s="11" t="s">
        <v>201</v>
      </c>
      <c r="C93" s="11" t="s">
        <v>49</v>
      </c>
      <c r="D93" s="11" t="s">
        <v>21</v>
      </c>
      <c r="E93" s="11" t="s">
        <v>12</v>
      </c>
      <c r="F93" s="11" t="s">
        <v>13</v>
      </c>
      <c r="G93" s="11" t="s">
        <v>14</v>
      </c>
      <c r="H93" s="31" t="str">
        <f t="shared" si="3"/>
        <v>5 Tahun</v>
      </c>
      <c r="I93" s="12">
        <f t="shared" si="2"/>
        <v>20000000</v>
      </c>
      <c r="J93" s="13">
        <v>5</v>
      </c>
    </row>
    <row r="94" spans="1:10" x14ac:dyDescent="0.25">
      <c r="A94" s="6" t="s">
        <v>202</v>
      </c>
      <c r="B94" s="7" t="s">
        <v>203</v>
      </c>
      <c r="C94" s="7" t="s">
        <v>49</v>
      </c>
      <c r="D94" s="7" t="s">
        <v>25</v>
      </c>
      <c r="E94" s="7" t="s">
        <v>12</v>
      </c>
      <c r="F94" s="7" t="s">
        <v>22</v>
      </c>
      <c r="G94" s="7" t="s">
        <v>14</v>
      </c>
      <c r="H94" s="31" t="str">
        <f t="shared" si="3"/>
        <v>5 Tahun</v>
      </c>
      <c r="I94" s="8">
        <f t="shared" si="2"/>
        <v>20000000</v>
      </c>
      <c r="J94" s="9">
        <v>3</v>
      </c>
    </row>
    <row r="95" spans="1:10" x14ac:dyDescent="0.25">
      <c r="A95" s="10" t="s">
        <v>204</v>
      </c>
      <c r="B95" s="11" t="s">
        <v>205</v>
      </c>
      <c r="C95" s="11" t="s">
        <v>49</v>
      </c>
      <c r="D95" s="11" t="s">
        <v>25</v>
      </c>
      <c r="E95" s="11" t="s">
        <v>26</v>
      </c>
      <c r="F95" s="11" t="s">
        <v>13</v>
      </c>
      <c r="G95" s="11" t="s">
        <v>18</v>
      </c>
      <c r="H95" s="31" t="str">
        <f t="shared" si="3"/>
        <v xml:space="preserve">2 Tahun </v>
      </c>
      <c r="I95" s="12">
        <f t="shared" si="2"/>
        <v>15000000</v>
      </c>
      <c r="J95" s="13">
        <v>4</v>
      </c>
    </row>
    <row r="96" spans="1:10" x14ac:dyDescent="0.25">
      <c r="A96" s="6" t="s">
        <v>206</v>
      </c>
      <c r="B96" s="7" t="s">
        <v>207</v>
      </c>
      <c r="C96" s="7" t="s">
        <v>10</v>
      </c>
      <c r="D96" s="7" t="s">
        <v>21</v>
      </c>
      <c r="E96" s="7" t="s">
        <v>12</v>
      </c>
      <c r="F96" s="7" t="s">
        <v>22</v>
      </c>
      <c r="G96" s="7" t="s">
        <v>18</v>
      </c>
      <c r="H96" s="31" t="str">
        <f t="shared" si="3"/>
        <v>5 Tahun</v>
      </c>
      <c r="I96" s="8">
        <f t="shared" si="2"/>
        <v>20000000</v>
      </c>
      <c r="J96" s="9">
        <v>5</v>
      </c>
    </row>
    <row r="97" spans="1:10" x14ac:dyDescent="0.25">
      <c r="A97" s="10" t="s">
        <v>208</v>
      </c>
      <c r="B97" s="11" t="s">
        <v>209</v>
      </c>
      <c r="C97" s="11" t="s">
        <v>10</v>
      </c>
      <c r="D97" s="11" t="s">
        <v>21</v>
      </c>
      <c r="E97" s="11" t="s">
        <v>12</v>
      </c>
      <c r="F97" s="11" t="s">
        <v>13</v>
      </c>
      <c r="G97" s="11" t="s">
        <v>14</v>
      </c>
      <c r="H97" s="31" t="str">
        <f t="shared" si="3"/>
        <v>5 Tahun</v>
      </c>
      <c r="I97" s="12">
        <f t="shared" si="2"/>
        <v>20000000</v>
      </c>
      <c r="J97" s="13">
        <v>4</v>
      </c>
    </row>
    <row r="98" spans="1:10" x14ac:dyDescent="0.25">
      <c r="A98" s="6" t="s">
        <v>210</v>
      </c>
      <c r="B98" s="7" t="s">
        <v>211</v>
      </c>
      <c r="C98" s="7" t="s">
        <v>10</v>
      </c>
      <c r="D98" s="7" t="s">
        <v>17</v>
      </c>
      <c r="E98" s="7" t="s">
        <v>12</v>
      </c>
      <c r="F98" s="7" t="s">
        <v>22</v>
      </c>
      <c r="G98" s="7" t="s">
        <v>14</v>
      </c>
      <c r="H98" s="31" t="str">
        <f t="shared" si="3"/>
        <v>5 Tahun</v>
      </c>
      <c r="I98" s="8">
        <f t="shared" si="2"/>
        <v>20000000</v>
      </c>
      <c r="J98" s="9">
        <v>4</v>
      </c>
    </row>
    <row r="99" spans="1:10" x14ac:dyDescent="0.25">
      <c r="A99" s="10" t="s">
        <v>212</v>
      </c>
      <c r="B99" s="11" t="s">
        <v>213</v>
      </c>
      <c r="C99" s="11" t="s">
        <v>49</v>
      </c>
      <c r="D99" s="11" t="s">
        <v>17</v>
      </c>
      <c r="E99" s="11" t="s">
        <v>12</v>
      </c>
      <c r="F99" s="11" t="s">
        <v>22</v>
      </c>
      <c r="G99" s="11" t="s">
        <v>14</v>
      </c>
      <c r="H99" s="31" t="str">
        <f t="shared" si="3"/>
        <v>5 Tahun</v>
      </c>
      <c r="I99" s="12">
        <f t="shared" si="2"/>
        <v>20000000</v>
      </c>
      <c r="J99" s="13">
        <v>4</v>
      </c>
    </row>
    <row r="100" spans="1:10" x14ac:dyDescent="0.25">
      <c r="A100" s="6" t="s">
        <v>214</v>
      </c>
      <c r="B100" s="7" t="s">
        <v>215</v>
      </c>
      <c r="C100" s="7" t="s">
        <v>49</v>
      </c>
      <c r="D100" s="7" t="s">
        <v>29</v>
      </c>
      <c r="E100" s="7" t="s">
        <v>12</v>
      </c>
      <c r="F100" s="7" t="s">
        <v>22</v>
      </c>
      <c r="G100" s="7" t="s">
        <v>14</v>
      </c>
      <c r="H100" s="31" t="str">
        <f t="shared" si="3"/>
        <v>5 Tahun</v>
      </c>
      <c r="I100" s="8">
        <f t="shared" si="2"/>
        <v>20000000</v>
      </c>
      <c r="J100" s="9">
        <v>5</v>
      </c>
    </row>
    <row r="101" spans="1:10" x14ac:dyDescent="0.25">
      <c r="A101" s="10" t="s">
        <v>216</v>
      </c>
      <c r="B101" s="11" t="s">
        <v>217</v>
      </c>
      <c r="C101" s="11" t="s">
        <v>49</v>
      </c>
      <c r="D101" s="11" t="s">
        <v>11</v>
      </c>
      <c r="E101" s="11" t="s">
        <v>26</v>
      </c>
      <c r="F101" s="11" t="s">
        <v>13</v>
      </c>
      <c r="G101" s="11" t="s">
        <v>18</v>
      </c>
      <c r="H101" s="31" t="str">
        <f t="shared" si="3"/>
        <v xml:space="preserve">2 Tahun </v>
      </c>
      <c r="I101" s="12">
        <f t="shared" si="2"/>
        <v>15000000</v>
      </c>
      <c r="J101" s="13">
        <v>4</v>
      </c>
    </row>
    <row r="102" spans="1:10" x14ac:dyDescent="0.25">
      <c r="A102" s="6" t="s">
        <v>218</v>
      </c>
      <c r="B102" s="7" t="s">
        <v>219</v>
      </c>
      <c r="C102" s="7" t="s">
        <v>49</v>
      </c>
      <c r="D102" s="7" t="s">
        <v>25</v>
      </c>
      <c r="E102" s="7" t="s">
        <v>40</v>
      </c>
      <c r="F102" s="7" t="s">
        <v>22</v>
      </c>
      <c r="G102" s="7" t="s">
        <v>18</v>
      </c>
      <c r="H102" s="31" t="str">
        <f t="shared" si="3"/>
        <v>1 Tahun</v>
      </c>
      <c r="I102" s="8">
        <f t="shared" si="2"/>
        <v>7000000</v>
      </c>
      <c r="J102" s="9">
        <v>3</v>
      </c>
    </row>
    <row r="103" spans="1:10" x14ac:dyDescent="0.25">
      <c r="A103" s="10" t="s">
        <v>220</v>
      </c>
      <c r="B103" s="11" t="s">
        <v>221</v>
      </c>
      <c r="C103" s="11" t="s">
        <v>49</v>
      </c>
      <c r="D103" s="11" t="s">
        <v>17</v>
      </c>
      <c r="E103" s="11" t="s">
        <v>40</v>
      </c>
      <c r="F103" s="11" t="s">
        <v>13</v>
      </c>
      <c r="G103" s="11" t="s">
        <v>14</v>
      </c>
      <c r="H103" s="31" t="str">
        <f t="shared" si="3"/>
        <v>1 Tahun</v>
      </c>
      <c r="I103" s="12">
        <f t="shared" si="2"/>
        <v>7000000</v>
      </c>
      <c r="J103" s="13">
        <v>5</v>
      </c>
    </row>
    <row r="104" spans="1:10" x14ac:dyDescent="0.25">
      <c r="A104" s="6" t="s">
        <v>222</v>
      </c>
      <c r="B104" s="7" t="s">
        <v>223</v>
      </c>
      <c r="C104" s="7" t="s">
        <v>10</v>
      </c>
      <c r="D104" s="7" t="s">
        <v>21</v>
      </c>
      <c r="E104" s="7" t="s">
        <v>12</v>
      </c>
      <c r="F104" s="7" t="s">
        <v>13</v>
      </c>
      <c r="G104" s="7" t="s">
        <v>18</v>
      </c>
      <c r="H104" s="31" t="str">
        <f t="shared" si="3"/>
        <v>5 Tahun</v>
      </c>
      <c r="I104" s="8">
        <f t="shared" si="2"/>
        <v>20000000</v>
      </c>
      <c r="J104" s="9">
        <v>4</v>
      </c>
    </row>
    <row r="105" spans="1:10" x14ac:dyDescent="0.25">
      <c r="A105" s="10" t="s">
        <v>224</v>
      </c>
      <c r="B105" s="11" t="s">
        <v>225</v>
      </c>
      <c r="C105" s="11" t="s">
        <v>10</v>
      </c>
      <c r="D105" s="11" t="s">
        <v>11</v>
      </c>
      <c r="E105" s="11" t="s">
        <v>12</v>
      </c>
      <c r="F105" s="11" t="s">
        <v>22</v>
      </c>
      <c r="G105" s="11" t="s">
        <v>14</v>
      </c>
      <c r="H105" s="31" t="str">
        <f t="shared" si="3"/>
        <v>5 Tahun</v>
      </c>
      <c r="I105" s="12">
        <f t="shared" si="2"/>
        <v>20000000</v>
      </c>
      <c r="J105" s="13">
        <v>5</v>
      </c>
    </row>
    <row r="106" spans="1:10" x14ac:dyDescent="0.25">
      <c r="A106" s="6" t="s">
        <v>226</v>
      </c>
      <c r="B106" s="7" t="s">
        <v>227</v>
      </c>
      <c r="C106" s="7" t="s">
        <v>10</v>
      </c>
      <c r="D106" s="7" t="s">
        <v>29</v>
      </c>
      <c r="E106" s="7" t="s">
        <v>40</v>
      </c>
      <c r="F106" s="7" t="s">
        <v>13</v>
      </c>
      <c r="G106" s="7" t="s">
        <v>14</v>
      </c>
      <c r="H106" s="31" t="str">
        <f t="shared" si="3"/>
        <v>1 Tahun</v>
      </c>
      <c r="I106" s="8">
        <f t="shared" si="2"/>
        <v>7000000</v>
      </c>
      <c r="J106" s="9">
        <v>4</v>
      </c>
    </row>
    <row r="107" spans="1:10" x14ac:dyDescent="0.25">
      <c r="A107" s="10" t="s">
        <v>228</v>
      </c>
      <c r="B107" s="11" t="s">
        <v>229</v>
      </c>
      <c r="C107" s="11" t="s">
        <v>10</v>
      </c>
      <c r="D107" s="11" t="s">
        <v>21</v>
      </c>
      <c r="E107" s="11" t="s">
        <v>12</v>
      </c>
      <c r="F107" s="11" t="s">
        <v>22</v>
      </c>
      <c r="G107" s="11" t="s">
        <v>18</v>
      </c>
      <c r="H107" s="31" t="str">
        <f t="shared" si="3"/>
        <v>5 Tahun</v>
      </c>
      <c r="I107" s="12">
        <f t="shared" si="2"/>
        <v>20000000</v>
      </c>
      <c r="J107" s="13">
        <v>3</v>
      </c>
    </row>
    <row r="108" spans="1:10" x14ac:dyDescent="0.25">
      <c r="A108" s="6" t="s">
        <v>230</v>
      </c>
      <c r="B108" s="7" t="s">
        <v>231</v>
      </c>
      <c r="C108" s="7" t="s">
        <v>10</v>
      </c>
      <c r="D108" s="7" t="s">
        <v>29</v>
      </c>
      <c r="E108" s="7" t="s">
        <v>26</v>
      </c>
      <c r="F108" s="7" t="s">
        <v>22</v>
      </c>
      <c r="G108" s="7" t="s">
        <v>14</v>
      </c>
      <c r="H108" s="31" t="str">
        <f t="shared" si="3"/>
        <v xml:space="preserve">2 Tahun </v>
      </c>
      <c r="I108" s="8">
        <f t="shared" si="2"/>
        <v>15000000</v>
      </c>
      <c r="J108" s="9">
        <v>4</v>
      </c>
    </row>
    <row r="109" spans="1:10" x14ac:dyDescent="0.25">
      <c r="A109" s="10" t="s">
        <v>232</v>
      </c>
      <c r="B109" s="11" t="s">
        <v>233</v>
      </c>
      <c r="C109" s="11" t="s">
        <v>10</v>
      </c>
      <c r="D109" s="11" t="s">
        <v>25</v>
      </c>
      <c r="E109" s="11" t="s">
        <v>26</v>
      </c>
      <c r="F109" s="11" t="s">
        <v>22</v>
      </c>
      <c r="G109" s="11" t="s">
        <v>14</v>
      </c>
      <c r="H109" s="31" t="str">
        <f t="shared" si="3"/>
        <v xml:space="preserve">2 Tahun </v>
      </c>
      <c r="I109" s="12">
        <f t="shared" si="2"/>
        <v>15000000</v>
      </c>
      <c r="J109" s="13">
        <v>4</v>
      </c>
    </row>
    <row r="110" spans="1:10" x14ac:dyDescent="0.25">
      <c r="A110" s="6" t="s">
        <v>234</v>
      </c>
      <c r="B110" s="7" t="s">
        <v>235</v>
      </c>
      <c r="C110" s="7" t="s">
        <v>10</v>
      </c>
      <c r="D110" s="7" t="s">
        <v>11</v>
      </c>
      <c r="E110" s="7" t="s">
        <v>12</v>
      </c>
      <c r="F110" s="7" t="s">
        <v>22</v>
      </c>
      <c r="G110" s="7" t="s">
        <v>18</v>
      </c>
      <c r="H110" s="31" t="str">
        <f t="shared" si="3"/>
        <v>5 Tahun</v>
      </c>
      <c r="I110" s="8">
        <f t="shared" si="2"/>
        <v>20000000</v>
      </c>
      <c r="J110" s="9">
        <v>3</v>
      </c>
    </row>
    <row r="111" spans="1:10" x14ac:dyDescent="0.25">
      <c r="A111" s="10" t="s">
        <v>236</v>
      </c>
      <c r="B111" s="11" t="s">
        <v>237</v>
      </c>
      <c r="C111" s="11" t="s">
        <v>10</v>
      </c>
      <c r="D111" s="11" t="s">
        <v>29</v>
      </c>
      <c r="E111" s="11" t="s">
        <v>26</v>
      </c>
      <c r="F111" s="11" t="s">
        <v>13</v>
      </c>
      <c r="G111" s="11" t="s">
        <v>14</v>
      </c>
      <c r="H111" s="31" t="str">
        <f t="shared" si="3"/>
        <v xml:space="preserve">2 Tahun </v>
      </c>
      <c r="I111" s="12">
        <f t="shared" si="2"/>
        <v>15000000</v>
      </c>
      <c r="J111" s="13">
        <v>4</v>
      </c>
    </row>
    <row r="112" spans="1:10" x14ac:dyDescent="0.25">
      <c r="A112" s="6" t="s">
        <v>238</v>
      </c>
      <c r="B112" s="7" t="s">
        <v>239</v>
      </c>
      <c r="C112" s="7" t="s">
        <v>10</v>
      </c>
      <c r="D112" s="7" t="s">
        <v>25</v>
      </c>
      <c r="E112" s="7" t="s">
        <v>40</v>
      </c>
      <c r="F112" s="7" t="s">
        <v>22</v>
      </c>
      <c r="G112" s="7" t="s">
        <v>14</v>
      </c>
      <c r="H112" s="31" t="str">
        <f t="shared" si="3"/>
        <v>1 Tahun</v>
      </c>
      <c r="I112" s="8">
        <f t="shared" si="2"/>
        <v>7000000</v>
      </c>
      <c r="J112" s="9">
        <v>5</v>
      </c>
    </row>
    <row r="113" spans="1:10" x14ac:dyDescent="0.25">
      <c r="A113" s="10" t="s">
        <v>240</v>
      </c>
      <c r="B113" s="11" t="s">
        <v>241</v>
      </c>
      <c r="C113" s="11" t="s">
        <v>10</v>
      </c>
      <c r="D113" s="11" t="s">
        <v>29</v>
      </c>
      <c r="E113" s="11" t="s">
        <v>26</v>
      </c>
      <c r="F113" s="11" t="s">
        <v>13</v>
      </c>
      <c r="G113" s="11" t="s">
        <v>18</v>
      </c>
      <c r="H113" s="31" t="str">
        <f t="shared" si="3"/>
        <v xml:space="preserve">2 Tahun </v>
      </c>
      <c r="I113" s="12">
        <f t="shared" si="2"/>
        <v>15000000</v>
      </c>
      <c r="J113" s="13">
        <v>5</v>
      </c>
    </row>
    <row r="114" spans="1:10" x14ac:dyDescent="0.25">
      <c r="A114" s="6" t="s">
        <v>242</v>
      </c>
      <c r="B114" s="7" t="s">
        <v>243</v>
      </c>
      <c r="C114" s="7" t="s">
        <v>49</v>
      </c>
      <c r="D114" s="7" t="s">
        <v>25</v>
      </c>
      <c r="E114" s="7" t="s">
        <v>26</v>
      </c>
      <c r="F114" s="7" t="s">
        <v>22</v>
      </c>
      <c r="G114" s="7" t="s">
        <v>18</v>
      </c>
      <c r="H114" s="31" t="str">
        <f t="shared" si="3"/>
        <v xml:space="preserve">2 Tahun </v>
      </c>
      <c r="I114" s="8">
        <f t="shared" si="2"/>
        <v>15000000</v>
      </c>
      <c r="J114" s="9">
        <v>3</v>
      </c>
    </row>
    <row r="115" spans="1:10" x14ac:dyDescent="0.25">
      <c r="A115" s="10" t="s">
        <v>244</v>
      </c>
      <c r="B115" s="11" t="s">
        <v>245</v>
      </c>
      <c r="C115" s="11" t="s">
        <v>49</v>
      </c>
      <c r="D115" s="11" t="s">
        <v>17</v>
      </c>
      <c r="E115" s="11" t="s">
        <v>40</v>
      </c>
      <c r="F115" s="11" t="s">
        <v>13</v>
      </c>
      <c r="G115" s="11" t="s">
        <v>18</v>
      </c>
      <c r="H115" s="31" t="str">
        <f t="shared" si="3"/>
        <v>1 Tahun</v>
      </c>
      <c r="I115" s="12">
        <f t="shared" si="2"/>
        <v>7000000</v>
      </c>
      <c r="J115" s="13">
        <v>3</v>
      </c>
    </row>
    <row r="116" spans="1:10" x14ac:dyDescent="0.25">
      <c r="A116" s="6" t="s">
        <v>246</v>
      </c>
      <c r="B116" s="7" t="s">
        <v>247</v>
      </c>
      <c r="C116" s="7" t="s">
        <v>49</v>
      </c>
      <c r="D116" s="7" t="s">
        <v>29</v>
      </c>
      <c r="E116" s="7" t="s">
        <v>40</v>
      </c>
      <c r="F116" s="7" t="s">
        <v>13</v>
      </c>
      <c r="G116" s="7" t="s">
        <v>14</v>
      </c>
      <c r="H116" s="31" t="str">
        <f t="shared" si="3"/>
        <v>1 Tahun</v>
      </c>
      <c r="I116" s="8">
        <f t="shared" si="2"/>
        <v>7000000</v>
      </c>
      <c r="J116" s="9">
        <v>5</v>
      </c>
    </row>
    <row r="117" spans="1:10" x14ac:dyDescent="0.25">
      <c r="A117" s="10" t="s">
        <v>248</v>
      </c>
      <c r="B117" s="11" t="s">
        <v>249</v>
      </c>
      <c r="C117" s="11" t="s">
        <v>49</v>
      </c>
      <c r="D117" s="11" t="s">
        <v>29</v>
      </c>
      <c r="E117" s="11" t="s">
        <v>12</v>
      </c>
      <c r="F117" s="11" t="s">
        <v>22</v>
      </c>
      <c r="G117" s="11" t="s">
        <v>14</v>
      </c>
      <c r="H117" s="31" t="str">
        <f t="shared" si="3"/>
        <v>5 Tahun</v>
      </c>
      <c r="I117" s="12">
        <f t="shared" si="2"/>
        <v>20000000</v>
      </c>
      <c r="J117" s="13">
        <v>5</v>
      </c>
    </row>
    <row r="118" spans="1:10" x14ac:dyDescent="0.25">
      <c r="A118" s="6" t="s">
        <v>250</v>
      </c>
      <c r="B118" s="7" t="s">
        <v>251</v>
      </c>
      <c r="C118" s="7" t="s">
        <v>49</v>
      </c>
      <c r="D118" s="7" t="s">
        <v>29</v>
      </c>
      <c r="E118" s="7" t="s">
        <v>26</v>
      </c>
      <c r="F118" s="7" t="s">
        <v>22</v>
      </c>
      <c r="G118" s="7" t="s">
        <v>14</v>
      </c>
      <c r="H118" s="31" t="str">
        <f t="shared" si="3"/>
        <v xml:space="preserve">2 Tahun </v>
      </c>
      <c r="I118" s="8">
        <f t="shared" si="2"/>
        <v>15000000</v>
      </c>
      <c r="J118" s="9">
        <v>3</v>
      </c>
    </row>
    <row r="119" spans="1:10" x14ac:dyDescent="0.25">
      <c r="A119" s="10" t="s">
        <v>252</v>
      </c>
      <c r="B119" s="11" t="s">
        <v>253</v>
      </c>
      <c r="C119" s="11" t="s">
        <v>49</v>
      </c>
      <c r="D119" s="11" t="s">
        <v>29</v>
      </c>
      <c r="E119" s="11" t="s">
        <v>40</v>
      </c>
      <c r="F119" s="11" t="s">
        <v>13</v>
      </c>
      <c r="G119" s="11" t="s">
        <v>14</v>
      </c>
      <c r="H119" s="31" t="str">
        <f t="shared" si="3"/>
        <v>1 Tahun</v>
      </c>
      <c r="I119" s="12">
        <f t="shared" si="2"/>
        <v>7000000</v>
      </c>
      <c r="J119" s="13">
        <v>3</v>
      </c>
    </row>
    <row r="120" spans="1:10" x14ac:dyDescent="0.25">
      <c r="A120" s="6" t="s">
        <v>254</v>
      </c>
      <c r="B120" s="7" t="s">
        <v>255</v>
      </c>
      <c r="C120" s="7" t="s">
        <v>10</v>
      </c>
      <c r="D120" s="7" t="s">
        <v>17</v>
      </c>
      <c r="E120" s="7" t="s">
        <v>40</v>
      </c>
      <c r="F120" s="7" t="s">
        <v>22</v>
      </c>
      <c r="G120" s="7" t="s">
        <v>18</v>
      </c>
      <c r="H120" s="31" t="str">
        <f t="shared" si="3"/>
        <v>1 Tahun</v>
      </c>
      <c r="I120" s="8">
        <f t="shared" si="2"/>
        <v>7000000</v>
      </c>
      <c r="J120" s="9">
        <v>5</v>
      </c>
    </row>
    <row r="121" spans="1:10" x14ac:dyDescent="0.25">
      <c r="A121" s="10" t="s">
        <v>256</v>
      </c>
      <c r="B121" s="11" t="s">
        <v>257</v>
      </c>
      <c r="C121" s="11" t="s">
        <v>10</v>
      </c>
      <c r="D121" s="11" t="s">
        <v>21</v>
      </c>
      <c r="E121" s="11" t="s">
        <v>40</v>
      </c>
      <c r="F121" s="11" t="s">
        <v>13</v>
      </c>
      <c r="G121" s="11" t="s">
        <v>18</v>
      </c>
      <c r="H121" s="31" t="str">
        <f t="shared" si="3"/>
        <v>1 Tahun</v>
      </c>
      <c r="I121" s="12">
        <f t="shared" si="2"/>
        <v>7000000</v>
      </c>
      <c r="J121" s="13">
        <v>4</v>
      </c>
    </row>
    <row r="122" spans="1:10" x14ac:dyDescent="0.25">
      <c r="A122" s="6" t="s">
        <v>258</v>
      </c>
      <c r="B122" s="7" t="s">
        <v>259</v>
      </c>
      <c r="C122" s="7" t="s">
        <v>10</v>
      </c>
      <c r="D122" s="7" t="s">
        <v>11</v>
      </c>
      <c r="E122" s="7" t="s">
        <v>40</v>
      </c>
      <c r="F122" s="7" t="s">
        <v>13</v>
      </c>
      <c r="G122" s="7" t="s">
        <v>18</v>
      </c>
      <c r="H122" s="31" t="str">
        <f t="shared" si="3"/>
        <v>1 Tahun</v>
      </c>
      <c r="I122" s="8">
        <f t="shared" si="2"/>
        <v>7000000</v>
      </c>
      <c r="J122" s="9">
        <v>5</v>
      </c>
    </row>
    <row r="123" spans="1:10" x14ac:dyDescent="0.25">
      <c r="A123" s="10" t="s">
        <v>260</v>
      </c>
      <c r="B123" s="11" t="s">
        <v>261</v>
      </c>
      <c r="C123" s="11" t="s">
        <v>49</v>
      </c>
      <c r="D123" s="11" t="s">
        <v>25</v>
      </c>
      <c r="E123" s="11" t="s">
        <v>26</v>
      </c>
      <c r="F123" s="11" t="s">
        <v>13</v>
      </c>
      <c r="G123" s="11" t="s">
        <v>14</v>
      </c>
      <c r="H123" s="31" t="str">
        <f t="shared" si="3"/>
        <v xml:space="preserve">2 Tahun </v>
      </c>
      <c r="I123" s="12">
        <f t="shared" si="2"/>
        <v>15000000</v>
      </c>
      <c r="J123" s="13">
        <v>4</v>
      </c>
    </row>
    <row r="124" spans="1:10" x14ac:dyDescent="0.25">
      <c r="A124" s="6" t="s">
        <v>262</v>
      </c>
      <c r="B124" s="7" t="s">
        <v>263</v>
      </c>
      <c r="C124" s="7" t="s">
        <v>49</v>
      </c>
      <c r="D124" s="7" t="s">
        <v>11</v>
      </c>
      <c r="E124" s="7" t="s">
        <v>40</v>
      </c>
      <c r="F124" s="7" t="s">
        <v>13</v>
      </c>
      <c r="G124" s="7" t="s">
        <v>14</v>
      </c>
      <c r="H124" s="31" t="str">
        <f t="shared" si="3"/>
        <v>1 Tahun</v>
      </c>
      <c r="I124" s="8">
        <f t="shared" si="2"/>
        <v>7000000</v>
      </c>
      <c r="J124" s="9">
        <v>3</v>
      </c>
    </row>
    <row r="125" spans="1:10" x14ac:dyDescent="0.25">
      <c r="A125" s="10" t="s">
        <v>264</v>
      </c>
      <c r="B125" s="11" t="s">
        <v>265</v>
      </c>
      <c r="C125" s="11" t="s">
        <v>49</v>
      </c>
      <c r="D125" s="11" t="s">
        <v>29</v>
      </c>
      <c r="E125" s="11" t="s">
        <v>26</v>
      </c>
      <c r="F125" s="11" t="s">
        <v>13</v>
      </c>
      <c r="G125" s="11" t="s">
        <v>18</v>
      </c>
      <c r="H125" s="31" t="str">
        <f t="shared" si="3"/>
        <v xml:space="preserve">2 Tahun </v>
      </c>
      <c r="I125" s="12">
        <f t="shared" si="2"/>
        <v>15000000</v>
      </c>
      <c r="J125" s="13">
        <v>3</v>
      </c>
    </row>
    <row r="126" spans="1:10" x14ac:dyDescent="0.25">
      <c r="A126" s="6" t="s">
        <v>266</v>
      </c>
      <c r="B126" s="7" t="s">
        <v>267</v>
      </c>
      <c r="C126" s="7" t="s">
        <v>10</v>
      </c>
      <c r="D126" s="7" t="s">
        <v>21</v>
      </c>
      <c r="E126" s="7" t="s">
        <v>12</v>
      </c>
      <c r="F126" s="7" t="s">
        <v>13</v>
      </c>
      <c r="G126" s="7" t="s">
        <v>18</v>
      </c>
      <c r="H126" s="31" t="str">
        <f t="shared" si="3"/>
        <v>5 Tahun</v>
      </c>
      <c r="I126" s="8">
        <f t="shared" si="2"/>
        <v>20000000</v>
      </c>
      <c r="J126" s="9">
        <v>5</v>
      </c>
    </row>
    <row r="127" spans="1:10" x14ac:dyDescent="0.25">
      <c r="A127" s="10" t="s">
        <v>268</v>
      </c>
      <c r="B127" s="11" t="s">
        <v>269</v>
      </c>
      <c r="C127" s="11" t="s">
        <v>49</v>
      </c>
      <c r="D127" s="11" t="s">
        <v>29</v>
      </c>
      <c r="E127" s="11" t="s">
        <v>12</v>
      </c>
      <c r="F127" s="11" t="s">
        <v>22</v>
      </c>
      <c r="G127" s="11" t="s">
        <v>18</v>
      </c>
      <c r="H127" s="31" t="str">
        <f t="shared" si="3"/>
        <v>5 Tahun</v>
      </c>
      <c r="I127" s="12">
        <f t="shared" si="2"/>
        <v>20000000</v>
      </c>
      <c r="J127" s="13">
        <v>5</v>
      </c>
    </row>
    <row r="128" spans="1:10" x14ac:dyDescent="0.25">
      <c r="A128" s="6" t="s">
        <v>270</v>
      </c>
      <c r="B128" s="7" t="s">
        <v>271</v>
      </c>
      <c r="C128" s="7" t="s">
        <v>49</v>
      </c>
      <c r="D128" s="7" t="s">
        <v>11</v>
      </c>
      <c r="E128" s="7" t="s">
        <v>40</v>
      </c>
      <c r="F128" s="7" t="s">
        <v>22</v>
      </c>
      <c r="G128" s="7" t="s">
        <v>18</v>
      </c>
      <c r="H128" s="31" t="str">
        <f t="shared" si="3"/>
        <v>1 Tahun</v>
      </c>
      <c r="I128" s="8">
        <f t="shared" si="2"/>
        <v>7000000</v>
      </c>
      <c r="J128" s="9">
        <v>5</v>
      </c>
    </row>
    <row r="129" spans="1:10" x14ac:dyDescent="0.25">
      <c r="A129" s="10" t="s">
        <v>272</v>
      </c>
      <c r="B129" s="11" t="s">
        <v>273</v>
      </c>
      <c r="C129" s="11" t="s">
        <v>10</v>
      </c>
      <c r="D129" s="11" t="s">
        <v>29</v>
      </c>
      <c r="E129" s="11" t="s">
        <v>40</v>
      </c>
      <c r="F129" s="11" t="s">
        <v>22</v>
      </c>
      <c r="G129" s="11" t="s">
        <v>14</v>
      </c>
      <c r="H129" s="31" t="str">
        <f t="shared" si="3"/>
        <v>1 Tahun</v>
      </c>
      <c r="I129" s="12">
        <f t="shared" si="2"/>
        <v>7000000</v>
      </c>
      <c r="J129" s="13">
        <v>3</v>
      </c>
    </row>
    <row r="130" spans="1:10" x14ac:dyDescent="0.25">
      <c r="A130" s="6" t="s">
        <v>274</v>
      </c>
      <c r="B130" s="7" t="s">
        <v>275</v>
      </c>
      <c r="C130" s="7" t="s">
        <v>10</v>
      </c>
      <c r="D130" s="7" t="s">
        <v>29</v>
      </c>
      <c r="E130" s="7" t="s">
        <v>26</v>
      </c>
      <c r="F130" s="7" t="s">
        <v>13</v>
      </c>
      <c r="G130" s="7" t="s">
        <v>14</v>
      </c>
      <c r="H130" s="31" t="str">
        <f t="shared" si="3"/>
        <v xml:space="preserve">2 Tahun </v>
      </c>
      <c r="I130" s="8">
        <f t="shared" si="2"/>
        <v>15000000</v>
      </c>
      <c r="J130" s="9">
        <v>5</v>
      </c>
    </row>
    <row r="131" spans="1:10" x14ac:dyDescent="0.25">
      <c r="A131" s="10" t="s">
        <v>276</v>
      </c>
      <c r="B131" s="11" t="s">
        <v>277</v>
      </c>
      <c r="C131" s="11" t="s">
        <v>10</v>
      </c>
      <c r="D131" s="11" t="s">
        <v>17</v>
      </c>
      <c r="E131" s="11" t="s">
        <v>40</v>
      </c>
      <c r="F131" s="11" t="s">
        <v>22</v>
      </c>
      <c r="G131" s="11" t="s">
        <v>18</v>
      </c>
      <c r="H131" s="31" t="str">
        <f t="shared" si="3"/>
        <v>1 Tahun</v>
      </c>
      <c r="I131" s="12">
        <f t="shared" si="2"/>
        <v>7000000</v>
      </c>
      <c r="J131" s="13">
        <v>3</v>
      </c>
    </row>
    <row r="132" spans="1:10" x14ac:dyDescent="0.25">
      <c r="A132" s="6" t="s">
        <v>278</v>
      </c>
      <c r="B132" s="7" t="s">
        <v>279</v>
      </c>
      <c r="C132" s="7" t="s">
        <v>49</v>
      </c>
      <c r="D132" s="7" t="s">
        <v>25</v>
      </c>
      <c r="E132" s="7" t="s">
        <v>12</v>
      </c>
      <c r="F132" s="7" t="s">
        <v>13</v>
      </c>
      <c r="G132" s="7" t="s">
        <v>14</v>
      </c>
      <c r="H132" s="31" t="str">
        <f t="shared" si="3"/>
        <v>5 Tahun</v>
      </c>
      <c r="I132" s="8">
        <f t="shared" si="2"/>
        <v>20000000</v>
      </c>
      <c r="J132" s="9">
        <v>4</v>
      </c>
    </row>
    <row r="133" spans="1:10" x14ac:dyDescent="0.25">
      <c r="A133" s="10" t="s">
        <v>280</v>
      </c>
      <c r="B133" s="11" t="s">
        <v>281</v>
      </c>
      <c r="C133" s="11" t="s">
        <v>49</v>
      </c>
      <c r="D133" s="11" t="s">
        <v>11</v>
      </c>
      <c r="E133" s="11" t="s">
        <v>40</v>
      </c>
      <c r="F133" s="11" t="s">
        <v>22</v>
      </c>
      <c r="G133" s="11" t="s">
        <v>14</v>
      </c>
      <c r="H133" s="31" t="str">
        <f t="shared" si="3"/>
        <v>1 Tahun</v>
      </c>
      <c r="I133" s="12">
        <f t="shared" ref="I133:I196" si="4">IF(E133="Manager",20000000,IF(E133="Senior",15000000,7000000))</f>
        <v>7000000</v>
      </c>
      <c r="J133" s="13">
        <v>3</v>
      </c>
    </row>
    <row r="134" spans="1:10" x14ac:dyDescent="0.25">
      <c r="A134" s="6" t="s">
        <v>282</v>
      </c>
      <c r="B134" s="7" t="s">
        <v>283</v>
      </c>
      <c r="C134" s="7" t="s">
        <v>49</v>
      </c>
      <c r="D134" s="7" t="s">
        <v>17</v>
      </c>
      <c r="E134" s="7" t="s">
        <v>26</v>
      </c>
      <c r="F134" s="7" t="s">
        <v>22</v>
      </c>
      <c r="G134" s="7" t="s">
        <v>14</v>
      </c>
      <c r="H134" s="31" t="str">
        <f t="shared" si="3"/>
        <v xml:space="preserve">2 Tahun </v>
      </c>
      <c r="I134" s="8">
        <f t="shared" si="4"/>
        <v>15000000</v>
      </c>
      <c r="J134" s="9">
        <v>4</v>
      </c>
    </row>
    <row r="135" spans="1:10" x14ac:dyDescent="0.25">
      <c r="A135" s="10" t="s">
        <v>284</v>
      </c>
      <c r="B135" s="11" t="s">
        <v>285</v>
      </c>
      <c r="C135" s="11" t="s">
        <v>10</v>
      </c>
      <c r="D135" s="11" t="s">
        <v>25</v>
      </c>
      <c r="E135" s="11" t="s">
        <v>26</v>
      </c>
      <c r="F135" s="11" t="s">
        <v>13</v>
      </c>
      <c r="G135" s="11" t="s">
        <v>14</v>
      </c>
      <c r="H135" s="31" t="str">
        <f t="shared" ref="H135:H198" si="5">IF(E135="Manager","5 Tahun",IF(E135="Senior","2 Tahun ","1 Tahun"))</f>
        <v xml:space="preserve">2 Tahun </v>
      </c>
      <c r="I135" s="12">
        <f t="shared" si="4"/>
        <v>15000000</v>
      </c>
      <c r="J135" s="13">
        <v>3</v>
      </c>
    </row>
    <row r="136" spans="1:10" x14ac:dyDescent="0.25">
      <c r="A136" s="6" t="s">
        <v>286</v>
      </c>
      <c r="B136" s="7" t="s">
        <v>287</v>
      </c>
      <c r="C136" s="7" t="s">
        <v>49</v>
      </c>
      <c r="D136" s="7" t="s">
        <v>17</v>
      </c>
      <c r="E136" s="7" t="s">
        <v>12</v>
      </c>
      <c r="F136" s="7" t="s">
        <v>22</v>
      </c>
      <c r="G136" s="7" t="s">
        <v>18</v>
      </c>
      <c r="H136" s="31" t="str">
        <f t="shared" si="5"/>
        <v>5 Tahun</v>
      </c>
      <c r="I136" s="8">
        <f t="shared" si="4"/>
        <v>20000000</v>
      </c>
      <c r="J136" s="9">
        <v>5</v>
      </c>
    </row>
    <row r="137" spans="1:10" x14ac:dyDescent="0.25">
      <c r="A137" s="10" t="s">
        <v>288</v>
      </c>
      <c r="B137" s="11" t="s">
        <v>289</v>
      </c>
      <c r="C137" s="11" t="s">
        <v>49</v>
      </c>
      <c r="D137" s="11" t="s">
        <v>25</v>
      </c>
      <c r="E137" s="11" t="s">
        <v>40</v>
      </c>
      <c r="F137" s="11" t="s">
        <v>13</v>
      </c>
      <c r="G137" s="11" t="s">
        <v>14</v>
      </c>
      <c r="H137" s="31" t="str">
        <f t="shared" si="5"/>
        <v>1 Tahun</v>
      </c>
      <c r="I137" s="12">
        <f t="shared" si="4"/>
        <v>7000000</v>
      </c>
      <c r="J137" s="13">
        <v>4</v>
      </c>
    </row>
    <row r="138" spans="1:10" x14ac:dyDescent="0.25">
      <c r="A138" s="6" t="s">
        <v>290</v>
      </c>
      <c r="B138" s="7" t="s">
        <v>291</v>
      </c>
      <c r="C138" s="7" t="s">
        <v>10</v>
      </c>
      <c r="D138" s="7" t="s">
        <v>29</v>
      </c>
      <c r="E138" s="7" t="s">
        <v>12</v>
      </c>
      <c r="F138" s="7" t="s">
        <v>22</v>
      </c>
      <c r="G138" s="7" t="s">
        <v>18</v>
      </c>
      <c r="H138" s="31" t="str">
        <f t="shared" si="5"/>
        <v>5 Tahun</v>
      </c>
      <c r="I138" s="8">
        <f t="shared" si="4"/>
        <v>20000000</v>
      </c>
      <c r="J138" s="9">
        <v>5</v>
      </c>
    </row>
    <row r="139" spans="1:10" x14ac:dyDescent="0.25">
      <c r="A139" s="10" t="s">
        <v>292</v>
      </c>
      <c r="B139" s="11" t="s">
        <v>293</v>
      </c>
      <c r="C139" s="11" t="s">
        <v>49</v>
      </c>
      <c r="D139" s="11" t="s">
        <v>17</v>
      </c>
      <c r="E139" s="11" t="s">
        <v>12</v>
      </c>
      <c r="F139" s="11" t="s">
        <v>22</v>
      </c>
      <c r="G139" s="11" t="s">
        <v>18</v>
      </c>
      <c r="H139" s="31" t="str">
        <f t="shared" si="5"/>
        <v>5 Tahun</v>
      </c>
      <c r="I139" s="12">
        <f t="shared" si="4"/>
        <v>20000000</v>
      </c>
      <c r="J139" s="13">
        <v>4</v>
      </c>
    </row>
    <row r="140" spans="1:10" x14ac:dyDescent="0.25">
      <c r="A140" s="6" t="s">
        <v>294</v>
      </c>
      <c r="B140" s="7" t="s">
        <v>295</v>
      </c>
      <c r="C140" s="7" t="s">
        <v>49</v>
      </c>
      <c r="D140" s="7" t="s">
        <v>17</v>
      </c>
      <c r="E140" s="7" t="s">
        <v>40</v>
      </c>
      <c r="F140" s="7" t="s">
        <v>13</v>
      </c>
      <c r="G140" s="7" t="s">
        <v>18</v>
      </c>
      <c r="H140" s="31" t="str">
        <f t="shared" si="5"/>
        <v>1 Tahun</v>
      </c>
      <c r="I140" s="8">
        <f t="shared" si="4"/>
        <v>7000000</v>
      </c>
      <c r="J140" s="9">
        <v>5</v>
      </c>
    </row>
    <row r="141" spans="1:10" x14ac:dyDescent="0.25">
      <c r="A141" s="10" t="s">
        <v>296</v>
      </c>
      <c r="B141" s="11" t="s">
        <v>297</v>
      </c>
      <c r="C141" s="11" t="s">
        <v>49</v>
      </c>
      <c r="D141" s="11" t="s">
        <v>17</v>
      </c>
      <c r="E141" s="11" t="s">
        <v>26</v>
      </c>
      <c r="F141" s="11" t="s">
        <v>13</v>
      </c>
      <c r="G141" s="11" t="s">
        <v>18</v>
      </c>
      <c r="H141" s="31" t="str">
        <f t="shared" si="5"/>
        <v xml:space="preserve">2 Tahun </v>
      </c>
      <c r="I141" s="12">
        <f t="shared" si="4"/>
        <v>15000000</v>
      </c>
      <c r="J141" s="13">
        <v>5</v>
      </c>
    </row>
    <row r="142" spans="1:10" x14ac:dyDescent="0.25">
      <c r="A142" s="6" t="s">
        <v>298</v>
      </c>
      <c r="B142" s="7" t="s">
        <v>299</v>
      </c>
      <c r="C142" s="7" t="s">
        <v>10</v>
      </c>
      <c r="D142" s="7" t="s">
        <v>25</v>
      </c>
      <c r="E142" s="7" t="s">
        <v>12</v>
      </c>
      <c r="F142" s="7" t="s">
        <v>22</v>
      </c>
      <c r="G142" s="7" t="s">
        <v>14</v>
      </c>
      <c r="H142" s="31" t="str">
        <f t="shared" si="5"/>
        <v>5 Tahun</v>
      </c>
      <c r="I142" s="8">
        <f t="shared" si="4"/>
        <v>20000000</v>
      </c>
      <c r="J142" s="9">
        <v>4</v>
      </c>
    </row>
    <row r="143" spans="1:10" x14ac:dyDescent="0.25">
      <c r="A143" s="10" t="s">
        <v>300</v>
      </c>
      <c r="B143" s="11" t="s">
        <v>301</v>
      </c>
      <c r="C143" s="11" t="s">
        <v>49</v>
      </c>
      <c r="D143" s="11" t="s">
        <v>11</v>
      </c>
      <c r="E143" s="11" t="s">
        <v>12</v>
      </c>
      <c r="F143" s="11" t="s">
        <v>13</v>
      </c>
      <c r="G143" s="11" t="s">
        <v>18</v>
      </c>
      <c r="H143" s="31" t="str">
        <f t="shared" si="5"/>
        <v>5 Tahun</v>
      </c>
      <c r="I143" s="12">
        <f t="shared" si="4"/>
        <v>20000000</v>
      </c>
      <c r="J143" s="13">
        <v>5</v>
      </c>
    </row>
    <row r="144" spans="1:10" x14ac:dyDescent="0.25">
      <c r="A144" s="6" t="s">
        <v>302</v>
      </c>
      <c r="B144" s="7" t="s">
        <v>303</v>
      </c>
      <c r="C144" s="7" t="s">
        <v>49</v>
      </c>
      <c r="D144" s="7" t="s">
        <v>29</v>
      </c>
      <c r="E144" s="7" t="s">
        <v>12</v>
      </c>
      <c r="F144" s="7" t="s">
        <v>22</v>
      </c>
      <c r="G144" s="7" t="s">
        <v>18</v>
      </c>
      <c r="H144" s="31" t="str">
        <f t="shared" si="5"/>
        <v>5 Tahun</v>
      </c>
      <c r="I144" s="8">
        <f t="shared" si="4"/>
        <v>20000000</v>
      </c>
      <c r="J144" s="9">
        <v>4</v>
      </c>
    </row>
    <row r="145" spans="1:10" x14ac:dyDescent="0.25">
      <c r="A145" s="10" t="s">
        <v>304</v>
      </c>
      <c r="B145" s="11" t="s">
        <v>305</v>
      </c>
      <c r="C145" s="11" t="s">
        <v>10</v>
      </c>
      <c r="D145" s="11" t="s">
        <v>11</v>
      </c>
      <c r="E145" s="11" t="s">
        <v>26</v>
      </c>
      <c r="F145" s="11" t="s">
        <v>13</v>
      </c>
      <c r="G145" s="11" t="s">
        <v>18</v>
      </c>
      <c r="H145" s="31" t="str">
        <f t="shared" si="5"/>
        <v xml:space="preserve">2 Tahun </v>
      </c>
      <c r="I145" s="12">
        <f t="shared" si="4"/>
        <v>15000000</v>
      </c>
      <c r="J145" s="13">
        <v>3</v>
      </c>
    </row>
    <row r="146" spans="1:10" x14ac:dyDescent="0.25">
      <c r="A146" s="6" t="s">
        <v>306</v>
      </c>
      <c r="B146" s="7" t="s">
        <v>307</v>
      </c>
      <c r="C146" s="7" t="s">
        <v>10</v>
      </c>
      <c r="D146" s="7" t="s">
        <v>17</v>
      </c>
      <c r="E146" s="7" t="s">
        <v>26</v>
      </c>
      <c r="F146" s="7" t="s">
        <v>22</v>
      </c>
      <c r="G146" s="7" t="s">
        <v>14</v>
      </c>
      <c r="H146" s="31" t="str">
        <f t="shared" si="5"/>
        <v xml:space="preserve">2 Tahun </v>
      </c>
      <c r="I146" s="8">
        <f t="shared" si="4"/>
        <v>15000000</v>
      </c>
      <c r="J146" s="9">
        <v>3</v>
      </c>
    </row>
    <row r="147" spans="1:10" x14ac:dyDescent="0.25">
      <c r="A147" s="10" t="s">
        <v>308</v>
      </c>
      <c r="B147" s="11" t="s">
        <v>309</v>
      </c>
      <c r="C147" s="11" t="s">
        <v>10</v>
      </c>
      <c r="D147" s="11" t="s">
        <v>17</v>
      </c>
      <c r="E147" s="11" t="s">
        <v>26</v>
      </c>
      <c r="F147" s="11" t="s">
        <v>22</v>
      </c>
      <c r="G147" s="11" t="s">
        <v>18</v>
      </c>
      <c r="H147" s="31" t="str">
        <f t="shared" si="5"/>
        <v xml:space="preserve">2 Tahun </v>
      </c>
      <c r="I147" s="12">
        <f t="shared" si="4"/>
        <v>15000000</v>
      </c>
      <c r="J147" s="13">
        <v>3</v>
      </c>
    </row>
    <row r="148" spans="1:10" x14ac:dyDescent="0.25">
      <c r="A148" s="6" t="s">
        <v>310</v>
      </c>
      <c r="B148" s="7" t="s">
        <v>311</v>
      </c>
      <c r="C148" s="7" t="s">
        <v>49</v>
      </c>
      <c r="D148" s="7" t="s">
        <v>17</v>
      </c>
      <c r="E148" s="7" t="s">
        <v>40</v>
      </c>
      <c r="F148" s="7" t="s">
        <v>22</v>
      </c>
      <c r="G148" s="7" t="s">
        <v>18</v>
      </c>
      <c r="H148" s="31" t="str">
        <f t="shared" si="5"/>
        <v>1 Tahun</v>
      </c>
      <c r="I148" s="8">
        <f t="shared" si="4"/>
        <v>7000000</v>
      </c>
      <c r="J148" s="9">
        <v>4</v>
      </c>
    </row>
    <row r="149" spans="1:10" x14ac:dyDescent="0.25">
      <c r="A149" s="10" t="s">
        <v>312</v>
      </c>
      <c r="B149" s="11" t="s">
        <v>313</v>
      </c>
      <c r="C149" s="11" t="s">
        <v>10</v>
      </c>
      <c r="D149" s="11" t="s">
        <v>25</v>
      </c>
      <c r="E149" s="11" t="s">
        <v>12</v>
      </c>
      <c r="F149" s="11" t="s">
        <v>13</v>
      </c>
      <c r="G149" s="11" t="s">
        <v>14</v>
      </c>
      <c r="H149" s="31" t="str">
        <f t="shared" si="5"/>
        <v>5 Tahun</v>
      </c>
      <c r="I149" s="12">
        <f t="shared" si="4"/>
        <v>20000000</v>
      </c>
      <c r="J149" s="13">
        <v>5</v>
      </c>
    </row>
    <row r="150" spans="1:10" x14ac:dyDescent="0.25">
      <c r="A150" s="6" t="s">
        <v>314</v>
      </c>
      <c r="B150" s="7" t="s">
        <v>315</v>
      </c>
      <c r="C150" s="7" t="s">
        <v>10</v>
      </c>
      <c r="D150" s="7" t="s">
        <v>25</v>
      </c>
      <c r="E150" s="7" t="s">
        <v>12</v>
      </c>
      <c r="F150" s="7" t="s">
        <v>13</v>
      </c>
      <c r="G150" s="7" t="s">
        <v>18</v>
      </c>
      <c r="H150" s="31" t="str">
        <f t="shared" si="5"/>
        <v>5 Tahun</v>
      </c>
      <c r="I150" s="8">
        <f t="shared" si="4"/>
        <v>20000000</v>
      </c>
      <c r="J150" s="9">
        <v>4</v>
      </c>
    </row>
    <row r="151" spans="1:10" x14ac:dyDescent="0.25">
      <c r="A151" s="10" t="s">
        <v>316</v>
      </c>
      <c r="B151" s="11" t="s">
        <v>317</v>
      </c>
      <c r="C151" s="11" t="s">
        <v>10</v>
      </c>
      <c r="D151" s="11" t="s">
        <v>25</v>
      </c>
      <c r="E151" s="11" t="s">
        <v>12</v>
      </c>
      <c r="F151" s="11" t="s">
        <v>22</v>
      </c>
      <c r="G151" s="11" t="s">
        <v>18</v>
      </c>
      <c r="H151" s="31" t="str">
        <f t="shared" si="5"/>
        <v>5 Tahun</v>
      </c>
      <c r="I151" s="12">
        <f t="shared" si="4"/>
        <v>20000000</v>
      </c>
      <c r="J151" s="13">
        <v>3</v>
      </c>
    </row>
    <row r="152" spans="1:10" x14ac:dyDescent="0.25">
      <c r="A152" s="6" t="s">
        <v>318</v>
      </c>
      <c r="B152" s="7" t="s">
        <v>319</v>
      </c>
      <c r="C152" s="7" t="s">
        <v>10</v>
      </c>
      <c r="D152" s="7" t="s">
        <v>17</v>
      </c>
      <c r="E152" s="7" t="s">
        <v>26</v>
      </c>
      <c r="F152" s="7" t="s">
        <v>22</v>
      </c>
      <c r="G152" s="7" t="s">
        <v>14</v>
      </c>
      <c r="H152" s="31" t="str">
        <f t="shared" si="5"/>
        <v xml:space="preserve">2 Tahun </v>
      </c>
      <c r="I152" s="8">
        <f t="shared" si="4"/>
        <v>15000000</v>
      </c>
      <c r="J152" s="9">
        <v>5</v>
      </c>
    </row>
    <row r="153" spans="1:10" x14ac:dyDescent="0.25">
      <c r="A153" s="10" t="s">
        <v>320</v>
      </c>
      <c r="B153" s="11" t="s">
        <v>321</v>
      </c>
      <c r="C153" s="11" t="s">
        <v>10</v>
      </c>
      <c r="D153" s="11" t="s">
        <v>17</v>
      </c>
      <c r="E153" s="11" t="s">
        <v>40</v>
      </c>
      <c r="F153" s="11" t="s">
        <v>22</v>
      </c>
      <c r="G153" s="11" t="s">
        <v>14</v>
      </c>
      <c r="H153" s="31" t="str">
        <f t="shared" si="5"/>
        <v>1 Tahun</v>
      </c>
      <c r="I153" s="12">
        <f t="shared" si="4"/>
        <v>7000000</v>
      </c>
      <c r="J153" s="13">
        <v>4</v>
      </c>
    </row>
    <row r="154" spans="1:10" x14ac:dyDescent="0.25">
      <c r="A154" s="6" t="s">
        <v>322</v>
      </c>
      <c r="B154" s="7" t="s">
        <v>323</v>
      </c>
      <c r="C154" s="7" t="s">
        <v>10</v>
      </c>
      <c r="D154" s="7" t="s">
        <v>25</v>
      </c>
      <c r="E154" s="7" t="s">
        <v>40</v>
      </c>
      <c r="F154" s="7" t="s">
        <v>22</v>
      </c>
      <c r="G154" s="7" t="s">
        <v>18</v>
      </c>
      <c r="H154" s="31" t="str">
        <f t="shared" si="5"/>
        <v>1 Tahun</v>
      </c>
      <c r="I154" s="8">
        <f t="shared" si="4"/>
        <v>7000000</v>
      </c>
      <c r="J154" s="9">
        <v>5</v>
      </c>
    </row>
    <row r="155" spans="1:10" x14ac:dyDescent="0.25">
      <c r="A155" s="10" t="s">
        <v>324</v>
      </c>
      <c r="B155" s="11" t="s">
        <v>325</v>
      </c>
      <c r="C155" s="11" t="s">
        <v>10</v>
      </c>
      <c r="D155" s="11" t="s">
        <v>25</v>
      </c>
      <c r="E155" s="11" t="s">
        <v>26</v>
      </c>
      <c r="F155" s="11" t="s">
        <v>13</v>
      </c>
      <c r="G155" s="11" t="s">
        <v>18</v>
      </c>
      <c r="H155" s="31" t="str">
        <f t="shared" si="5"/>
        <v xml:space="preserve">2 Tahun </v>
      </c>
      <c r="I155" s="12">
        <f t="shared" si="4"/>
        <v>15000000</v>
      </c>
      <c r="J155" s="13">
        <v>3</v>
      </c>
    </row>
    <row r="156" spans="1:10" x14ac:dyDescent="0.25">
      <c r="A156" s="6" t="s">
        <v>326</v>
      </c>
      <c r="B156" s="7" t="s">
        <v>327</v>
      </c>
      <c r="C156" s="7" t="s">
        <v>49</v>
      </c>
      <c r="D156" s="7" t="s">
        <v>21</v>
      </c>
      <c r="E156" s="7" t="s">
        <v>26</v>
      </c>
      <c r="F156" s="7" t="s">
        <v>13</v>
      </c>
      <c r="G156" s="7" t="s">
        <v>18</v>
      </c>
      <c r="H156" s="31" t="str">
        <f t="shared" si="5"/>
        <v xml:space="preserve">2 Tahun </v>
      </c>
      <c r="I156" s="8">
        <f t="shared" si="4"/>
        <v>15000000</v>
      </c>
      <c r="J156" s="9">
        <v>4</v>
      </c>
    </row>
    <row r="157" spans="1:10" x14ac:dyDescent="0.25">
      <c r="A157" s="10" t="s">
        <v>328</v>
      </c>
      <c r="B157" s="11" t="s">
        <v>329</v>
      </c>
      <c r="C157" s="11" t="s">
        <v>10</v>
      </c>
      <c r="D157" s="11" t="s">
        <v>17</v>
      </c>
      <c r="E157" s="11" t="s">
        <v>40</v>
      </c>
      <c r="F157" s="11" t="s">
        <v>22</v>
      </c>
      <c r="G157" s="11" t="s">
        <v>18</v>
      </c>
      <c r="H157" s="31" t="str">
        <f t="shared" si="5"/>
        <v>1 Tahun</v>
      </c>
      <c r="I157" s="12">
        <f t="shared" si="4"/>
        <v>7000000</v>
      </c>
      <c r="J157" s="13">
        <v>4</v>
      </c>
    </row>
    <row r="158" spans="1:10" x14ac:dyDescent="0.25">
      <c r="A158" s="6" t="s">
        <v>330</v>
      </c>
      <c r="B158" s="7" t="s">
        <v>331</v>
      </c>
      <c r="C158" s="7" t="s">
        <v>10</v>
      </c>
      <c r="D158" s="7" t="s">
        <v>11</v>
      </c>
      <c r="E158" s="7" t="s">
        <v>26</v>
      </c>
      <c r="F158" s="7" t="s">
        <v>13</v>
      </c>
      <c r="G158" s="7" t="s">
        <v>18</v>
      </c>
      <c r="H158" s="31" t="str">
        <f t="shared" si="5"/>
        <v xml:space="preserve">2 Tahun </v>
      </c>
      <c r="I158" s="8">
        <f t="shared" si="4"/>
        <v>15000000</v>
      </c>
      <c r="J158" s="9">
        <v>3</v>
      </c>
    </row>
    <row r="159" spans="1:10" x14ac:dyDescent="0.25">
      <c r="A159" s="10" t="s">
        <v>332</v>
      </c>
      <c r="B159" s="11" t="s">
        <v>333</v>
      </c>
      <c r="C159" s="11" t="s">
        <v>49</v>
      </c>
      <c r="D159" s="11" t="s">
        <v>21</v>
      </c>
      <c r="E159" s="11" t="s">
        <v>26</v>
      </c>
      <c r="F159" s="11" t="s">
        <v>22</v>
      </c>
      <c r="G159" s="11" t="s">
        <v>14</v>
      </c>
      <c r="H159" s="31" t="str">
        <f t="shared" si="5"/>
        <v xml:space="preserve">2 Tahun </v>
      </c>
      <c r="I159" s="12">
        <f t="shared" si="4"/>
        <v>15000000</v>
      </c>
      <c r="J159" s="13">
        <v>4</v>
      </c>
    </row>
    <row r="160" spans="1:10" x14ac:dyDescent="0.25">
      <c r="A160" s="6" t="s">
        <v>334</v>
      </c>
      <c r="B160" s="7" t="s">
        <v>335</v>
      </c>
      <c r="C160" s="7" t="s">
        <v>10</v>
      </c>
      <c r="D160" s="7" t="s">
        <v>11</v>
      </c>
      <c r="E160" s="7" t="s">
        <v>26</v>
      </c>
      <c r="F160" s="7" t="s">
        <v>13</v>
      </c>
      <c r="G160" s="7" t="s">
        <v>18</v>
      </c>
      <c r="H160" s="31" t="str">
        <f t="shared" si="5"/>
        <v xml:space="preserve">2 Tahun </v>
      </c>
      <c r="I160" s="8">
        <f t="shared" si="4"/>
        <v>15000000</v>
      </c>
      <c r="J160" s="9">
        <v>3</v>
      </c>
    </row>
    <row r="161" spans="1:10" x14ac:dyDescent="0.25">
      <c r="A161" s="10" t="s">
        <v>336</v>
      </c>
      <c r="B161" s="11" t="s">
        <v>337</v>
      </c>
      <c r="C161" s="11" t="s">
        <v>49</v>
      </c>
      <c r="D161" s="11" t="s">
        <v>17</v>
      </c>
      <c r="E161" s="11" t="s">
        <v>26</v>
      </c>
      <c r="F161" s="11" t="s">
        <v>22</v>
      </c>
      <c r="G161" s="11" t="s">
        <v>14</v>
      </c>
      <c r="H161" s="31" t="str">
        <f t="shared" si="5"/>
        <v xml:space="preserve">2 Tahun </v>
      </c>
      <c r="I161" s="12">
        <f t="shared" si="4"/>
        <v>15000000</v>
      </c>
      <c r="J161" s="13">
        <v>5</v>
      </c>
    </row>
    <row r="162" spans="1:10" x14ac:dyDescent="0.25">
      <c r="A162" s="6" t="s">
        <v>338</v>
      </c>
      <c r="B162" s="7" t="s">
        <v>339</v>
      </c>
      <c r="C162" s="7" t="s">
        <v>10</v>
      </c>
      <c r="D162" s="7" t="s">
        <v>21</v>
      </c>
      <c r="E162" s="7" t="s">
        <v>40</v>
      </c>
      <c r="F162" s="7" t="s">
        <v>13</v>
      </c>
      <c r="G162" s="7" t="s">
        <v>14</v>
      </c>
      <c r="H162" s="31" t="str">
        <f t="shared" si="5"/>
        <v>1 Tahun</v>
      </c>
      <c r="I162" s="8">
        <f t="shared" si="4"/>
        <v>7000000</v>
      </c>
      <c r="J162" s="9">
        <v>4</v>
      </c>
    </row>
    <row r="163" spans="1:10" x14ac:dyDescent="0.25">
      <c r="A163" s="10" t="s">
        <v>340</v>
      </c>
      <c r="B163" s="11" t="s">
        <v>341</v>
      </c>
      <c r="C163" s="11" t="s">
        <v>49</v>
      </c>
      <c r="D163" s="11" t="s">
        <v>25</v>
      </c>
      <c r="E163" s="11" t="s">
        <v>12</v>
      </c>
      <c r="F163" s="11" t="s">
        <v>13</v>
      </c>
      <c r="G163" s="11" t="s">
        <v>18</v>
      </c>
      <c r="H163" s="31" t="str">
        <f t="shared" si="5"/>
        <v>5 Tahun</v>
      </c>
      <c r="I163" s="12">
        <f t="shared" si="4"/>
        <v>20000000</v>
      </c>
      <c r="J163" s="13">
        <v>3</v>
      </c>
    </row>
    <row r="164" spans="1:10" x14ac:dyDescent="0.25">
      <c r="A164" s="6" t="s">
        <v>342</v>
      </c>
      <c r="B164" s="7" t="s">
        <v>343</v>
      </c>
      <c r="C164" s="7" t="s">
        <v>49</v>
      </c>
      <c r="D164" s="7" t="s">
        <v>17</v>
      </c>
      <c r="E164" s="7" t="s">
        <v>12</v>
      </c>
      <c r="F164" s="7" t="s">
        <v>13</v>
      </c>
      <c r="G164" s="7" t="s">
        <v>18</v>
      </c>
      <c r="H164" s="31" t="str">
        <f t="shared" si="5"/>
        <v>5 Tahun</v>
      </c>
      <c r="I164" s="8">
        <f t="shared" si="4"/>
        <v>20000000</v>
      </c>
      <c r="J164" s="9">
        <v>3</v>
      </c>
    </row>
    <row r="165" spans="1:10" x14ac:dyDescent="0.25">
      <c r="A165" s="10" t="s">
        <v>344</v>
      </c>
      <c r="B165" s="11" t="s">
        <v>345</v>
      </c>
      <c r="C165" s="11" t="s">
        <v>49</v>
      </c>
      <c r="D165" s="11" t="s">
        <v>29</v>
      </c>
      <c r="E165" s="11" t="s">
        <v>40</v>
      </c>
      <c r="F165" s="11" t="s">
        <v>13</v>
      </c>
      <c r="G165" s="11" t="s">
        <v>18</v>
      </c>
      <c r="H165" s="31" t="str">
        <f t="shared" si="5"/>
        <v>1 Tahun</v>
      </c>
      <c r="I165" s="12">
        <f t="shared" si="4"/>
        <v>7000000</v>
      </c>
      <c r="J165" s="13">
        <v>3</v>
      </c>
    </row>
    <row r="166" spans="1:10" x14ac:dyDescent="0.25">
      <c r="A166" s="6" t="s">
        <v>346</v>
      </c>
      <c r="B166" s="7" t="s">
        <v>347</v>
      </c>
      <c r="C166" s="7" t="s">
        <v>49</v>
      </c>
      <c r="D166" s="7" t="s">
        <v>17</v>
      </c>
      <c r="E166" s="7" t="s">
        <v>12</v>
      </c>
      <c r="F166" s="7" t="s">
        <v>13</v>
      </c>
      <c r="G166" s="7" t="s">
        <v>18</v>
      </c>
      <c r="H166" s="31" t="str">
        <f t="shared" si="5"/>
        <v>5 Tahun</v>
      </c>
      <c r="I166" s="8">
        <f t="shared" si="4"/>
        <v>20000000</v>
      </c>
      <c r="J166" s="9">
        <v>3</v>
      </c>
    </row>
    <row r="167" spans="1:10" x14ac:dyDescent="0.25">
      <c r="A167" s="10" t="s">
        <v>348</v>
      </c>
      <c r="B167" s="11" t="s">
        <v>349</v>
      </c>
      <c r="C167" s="11" t="s">
        <v>10</v>
      </c>
      <c r="D167" s="11" t="s">
        <v>11</v>
      </c>
      <c r="E167" s="11" t="s">
        <v>26</v>
      </c>
      <c r="F167" s="11" t="s">
        <v>13</v>
      </c>
      <c r="G167" s="11" t="s">
        <v>14</v>
      </c>
      <c r="H167" s="31" t="str">
        <f t="shared" si="5"/>
        <v xml:space="preserve">2 Tahun </v>
      </c>
      <c r="I167" s="12">
        <f t="shared" si="4"/>
        <v>15000000</v>
      </c>
      <c r="J167" s="13">
        <v>3</v>
      </c>
    </row>
    <row r="168" spans="1:10" x14ac:dyDescent="0.25">
      <c r="A168" s="6" t="s">
        <v>350</v>
      </c>
      <c r="B168" s="7" t="s">
        <v>351</v>
      </c>
      <c r="C168" s="7" t="s">
        <v>10</v>
      </c>
      <c r="D168" s="7" t="s">
        <v>11</v>
      </c>
      <c r="E168" s="7" t="s">
        <v>12</v>
      </c>
      <c r="F168" s="7" t="s">
        <v>13</v>
      </c>
      <c r="G168" s="7" t="s">
        <v>14</v>
      </c>
      <c r="H168" s="31" t="str">
        <f t="shared" si="5"/>
        <v>5 Tahun</v>
      </c>
      <c r="I168" s="8">
        <f t="shared" si="4"/>
        <v>20000000</v>
      </c>
      <c r="J168" s="9">
        <v>3</v>
      </c>
    </row>
    <row r="169" spans="1:10" x14ac:dyDescent="0.25">
      <c r="A169" s="10" t="s">
        <v>352</v>
      </c>
      <c r="B169" s="11" t="s">
        <v>353</v>
      </c>
      <c r="C169" s="11" t="s">
        <v>49</v>
      </c>
      <c r="D169" s="11" t="s">
        <v>25</v>
      </c>
      <c r="E169" s="11" t="s">
        <v>12</v>
      </c>
      <c r="F169" s="11" t="s">
        <v>22</v>
      </c>
      <c r="G169" s="11" t="s">
        <v>14</v>
      </c>
      <c r="H169" s="31" t="str">
        <f t="shared" si="5"/>
        <v>5 Tahun</v>
      </c>
      <c r="I169" s="12">
        <f t="shared" si="4"/>
        <v>20000000</v>
      </c>
      <c r="J169" s="13">
        <v>3</v>
      </c>
    </row>
    <row r="170" spans="1:10" x14ac:dyDescent="0.25">
      <c r="A170" s="6" t="s">
        <v>354</v>
      </c>
      <c r="B170" s="7" t="s">
        <v>355</v>
      </c>
      <c r="C170" s="7" t="s">
        <v>10</v>
      </c>
      <c r="D170" s="7" t="s">
        <v>11</v>
      </c>
      <c r="E170" s="7" t="s">
        <v>40</v>
      </c>
      <c r="F170" s="7" t="s">
        <v>13</v>
      </c>
      <c r="G170" s="7" t="s">
        <v>18</v>
      </c>
      <c r="H170" s="31" t="str">
        <f t="shared" si="5"/>
        <v>1 Tahun</v>
      </c>
      <c r="I170" s="8">
        <f t="shared" si="4"/>
        <v>7000000</v>
      </c>
      <c r="J170" s="9">
        <v>3</v>
      </c>
    </row>
    <row r="171" spans="1:10" x14ac:dyDescent="0.25">
      <c r="A171" s="10" t="s">
        <v>356</v>
      </c>
      <c r="B171" s="11" t="s">
        <v>357</v>
      </c>
      <c r="C171" s="11" t="s">
        <v>10</v>
      </c>
      <c r="D171" s="11" t="s">
        <v>21</v>
      </c>
      <c r="E171" s="11" t="s">
        <v>26</v>
      </c>
      <c r="F171" s="11" t="s">
        <v>13</v>
      </c>
      <c r="G171" s="11" t="s">
        <v>18</v>
      </c>
      <c r="H171" s="31" t="str">
        <f t="shared" si="5"/>
        <v xml:space="preserve">2 Tahun </v>
      </c>
      <c r="I171" s="12">
        <f t="shared" si="4"/>
        <v>15000000</v>
      </c>
      <c r="J171" s="13">
        <v>5</v>
      </c>
    </row>
    <row r="172" spans="1:10" x14ac:dyDescent="0.25">
      <c r="A172" s="6" t="s">
        <v>358</v>
      </c>
      <c r="B172" s="7" t="s">
        <v>359</v>
      </c>
      <c r="C172" s="7" t="s">
        <v>10</v>
      </c>
      <c r="D172" s="7" t="s">
        <v>11</v>
      </c>
      <c r="E172" s="7" t="s">
        <v>12</v>
      </c>
      <c r="F172" s="7" t="s">
        <v>13</v>
      </c>
      <c r="G172" s="7" t="s">
        <v>18</v>
      </c>
      <c r="H172" s="31" t="str">
        <f t="shared" si="5"/>
        <v>5 Tahun</v>
      </c>
      <c r="I172" s="8">
        <f t="shared" si="4"/>
        <v>20000000</v>
      </c>
      <c r="J172" s="9">
        <v>5</v>
      </c>
    </row>
    <row r="173" spans="1:10" x14ac:dyDescent="0.25">
      <c r="A173" s="10" t="s">
        <v>360</v>
      </c>
      <c r="B173" s="11" t="s">
        <v>361</v>
      </c>
      <c r="C173" s="11" t="s">
        <v>10</v>
      </c>
      <c r="D173" s="11" t="s">
        <v>11</v>
      </c>
      <c r="E173" s="11" t="s">
        <v>26</v>
      </c>
      <c r="F173" s="11" t="s">
        <v>13</v>
      </c>
      <c r="G173" s="11" t="s">
        <v>14</v>
      </c>
      <c r="H173" s="31" t="str">
        <f t="shared" si="5"/>
        <v xml:space="preserve">2 Tahun </v>
      </c>
      <c r="I173" s="12">
        <f t="shared" si="4"/>
        <v>15000000</v>
      </c>
      <c r="J173" s="13">
        <v>5</v>
      </c>
    </row>
    <row r="174" spans="1:10" x14ac:dyDescent="0.25">
      <c r="A174" s="6" t="s">
        <v>362</v>
      </c>
      <c r="B174" s="7" t="s">
        <v>363</v>
      </c>
      <c r="C174" s="7" t="s">
        <v>10</v>
      </c>
      <c r="D174" s="7" t="s">
        <v>11</v>
      </c>
      <c r="E174" s="7" t="s">
        <v>12</v>
      </c>
      <c r="F174" s="7" t="s">
        <v>13</v>
      </c>
      <c r="G174" s="7" t="s">
        <v>14</v>
      </c>
      <c r="H174" s="31" t="str">
        <f t="shared" si="5"/>
        <v>5 Tahun</v>
      </c>
      <c r="I174" s="8">
        <f t="shared" si="4"/>
        <v>20000000</v>
      </c>
      <c r="J174" s="9">
        <v>4</v>
      </c>
    </row>
    <row r="175" spans="1:10" x14ac:dyDescent="0.25">
      <c r="A175" s="10" t="s">
        <v>364</v>
      </c>
      <c r="B175" s="11" t="s">
        <v>365</v>
      </c>
      <c r="C175" s="11" t="s">
        <v>10</v>
      </c>
      <c r="D175" s="11" t="s">
        <v>11</v>
      </c>
      <c r="E175" s="11" t="s">
        <v>12</v>
      </c>
      <c r="F175" s="11" t="s">
        <v>22</v>
      </c>
      <c r="G175" s="11" t="s">
        <v>14</v>
      </c>
      <c r="H175" s="31" t="str">
        <f t="shared" si="5"/>
        <v>5 Tahun</v>
      </c>
      <c r="I175" s="12">
        <f t="shared" si="4"/>
        <v>20000000</v>
      </c>
      <c r="J175" s="13">
        <v>3</v>
      </c>
    </row>
    <row r="176" spans="1:10" x14ac:dyDescent="0.25">
      <c r="A176" s="6" t="s">
        <v>366</v>
      </c>
      <c r="B176" s="7" t="s">
        <v>367</v>
      </c>
      <c r="C176" s="7" t="s">
        <v>10</v>
      </c>
      <c r="D176" s="7" t="s">
        <v>21</v>
      </c>
      <c r="E176" s="7" t="s">
        <v>12</v>
      </c>
      <c r="F176" s="7" t="s">
        <v>13</v>
      </c>
      <c r="G176" s="7" t="s">
        <v>18</v>
      </c>
      <c r="H176" s="31" t="str">
        <f t="shared" si="5"/>
        <v>5 Tahun</v>
      </c>
      <c r="I176" s="8">
        <f t="shared" si="4"/>
        <v>20000000</v>
      </c>
      <c r="J176" s="9">
        <v>5</v>
      </c>
    </row>
    <row r="177" spans="1:10" x14ac:dyDescent="0.25">
      <c r="A177" s="10" t="s">
        <v>368</v>
      </c>
      <c r="B177" s="11" t="s">
        <v>369</v>
      </c>
      <c r="C177" s="11" t="s">
        <v>49</v>
      </c>
      <c r="D177" s="11" t="s">
        <v>21</v>
      </c>
      <c r="E177" s="11" t="s">
        <v>26</v>
      </c>
      <c r="F177" s="11" t="s">
        <v>22</v>
      </c>
      <c r="G177" s="11" t="s">
        <v>14</v>
      </c>
      <c r="H177" s="31" t="str">
        <f t="shared" si="5"/>
        <v xml:space="preserve">2 Tahun </v>
      </c>
      <c r="I177" s="12">
        <f t="shared" si="4"/>
        <v>15000000</v>
      </c>
      <c r="J177" s="13">
        <v>3</v>
      </c>
    </row>
    <row r="178" spans="1:10" x14ac:dyDescent="0.25">
      <c r="A178" s="6" t="s">
        <v>370</v>
      </c>
      <c r="B178" s="7" t="s">
        <v>371</v>
      </c>
      <c r="C178" s="7" t="s">
        <v>10</v>
      </c>
      <c r="D178" s="7" t="s">
        <v>11</v>
      </c>
      <c r="E178" s="7" t="s">
        <v>40</v>
      </c>
      <c r="F178" s="7" t="s">
        <v>22</v>
      </c>
      <c r="G178" s="7" t="s">
        <v>18</v>
      </c>
      <c r="H178" s="31" t="str">
        <f t="shared" si="5"/>
        <v>1 Tahun</v>
      </c>
      <c r="I178" s="8">
        <f t="shared" si="4"/>
        <v>7000000</v>
      </c>
      <c r="J178" s="9">
        <v>3</v>
      </c>
    </row>
    <row r="179" spans="1:10" x14ac:dyDescent="0.25">
      <c r="A179" s="10" t="s">
        <v>372</v>
      </c>
      <c r="B179" s="11" t="s">
        <v>373</v>
      </c>
      <c r="C179" s="11" t="s">
        <v>10</v>
      </c>
      <c r="D179" s="11" t="s">
        <v>21</v>
      </c>
      <c r="E179" s="11" t="s">
        <v>26</v>
      </c>
      <c r="F179" s="11" t="s">
        <v>22</v>
      </c>
      <c r="G179" s="11" t="s">
        <v>18</v>
      </c>
      <c r="H179" s="31" t="str">
        <f t="shared" si="5"/>
        <v xml:space="preserve">2 Tahun </v>
      </c>
      <c r="I179" s="12">
        <f t="shared" si="4"/>
        <v>15000000</v>
      </c>
      <c r="J179" s="13">
        <v>3</v>
      </c>
    </row>
    <row r="180" spans="1:10" x14ac:dyDescent="0.25">
      <c r="A180" s="6" t="s">
        <v>374</v>
      </c>
      <c r="B180" s="7" t="s">
        <v>375</v>
      </c>
      <c r="C180" s="7" t="s">
        <v>49</v>
      </c>
      <c r="D180" s="7" t="s">
        <v>11</v>
      </c>
      <c r="E180" s="7" t="s">
        <v>26</v>
      </c>
      <c r="F180" s="7" t="s">
        <v>13</v>
      </c>
      <c r="G180" s="7" t="s">
        <v>14</v>
      </c>
      <c r="H180" s="31" t="str">
        <f t="shared" si="5"/>
        <v xml:space="preserve">2 Tahun </v>
      </c>
      <c r="I180" s="8">
        <f t="shared" si="4"/>
        <v>15000000</v>
      </c>
      <c r="J180" s="9">
        <v>5</v>
      </c>
    </row>
    <row r="181" spans="1:10" x14ac:dyDescent="0.25">
      <c r="A181" s="10" t="s">
        <v>376</v>
      </c>
      <c r="B181" s="11" t="s">
        <v>377</v>
      </c>
      <c r="C181" s="11" t="s">
        <v>49</v>
      </c>
      <c r="D181" s="11" t="s">
        <v>21</v>
      </c>
      <c r="E181" s="11" t="s">
        <v>26</v>
      </c>
      <c r="F181" s="11" t="s">
        <v>22</v>
      </c>
      <c r="G181" s="11" t="s">
        <v>14</v>
      </c>
      <c r="H181" s="31" t="str">
        <f t="shared" si="5"/>
        <v xml:space="preserve">2 Tahun </v>
      </c>
      <c r="I181" s="12">
        <f t="shared" si="4"/>
        <v>15000000</v>
      </c>
      <c r="J181" s="13">
        <v>4</v>
      </c>
    </row>
    <row r="182" spans="1:10" x14ac:dyDescent="0.25">
      <c r="A182" s="6" t="s">
        <v>378</v>
      </c>
      <c r="B182" s="7" t="s">
        <v>379</v>
      </c>
      <c r="C182" s="7" t="s">
        <v>10</v>
      </c>
      <c r="D182" s="7" t="s">
        <v>29</v>
      </c>
      <c r="E182" s="7" t="s">
        <v>26</v>
      </c>
      <c r="F182" s="7" t="s">
        <v>13</v>
      </c>
      <c r="G182" s="7" t="s">
        <v>18</v>
      </c>
      <c r="H182" s="31" t="str">
        <f t="shared" si="5"/>
        <v xml:space="preserve">2 Tahun </v>
      </c>
      <c r="I182" s="8">
        <f t="shared" si="4"/>
        <v>15000000</v>
      </c>
      <c r="J182" s="9">
        <v>4</v>
      </c>
    </row>
    <row r="183" spans="1:10" x14ac:dyDescent="0.25">
      <c r="A183" s="10" t="s">
        <v>380</v>
      </c>
      <c r="B183" s="11" t="s">
        <v>381</v>
      </c>
      <c r="C183" s="11" t="s">
        <v>10</v>
      </c>
      <c r="D183" s="11" t="s">
        <v>25</v>
      </c>
      <c r="E183" s="11" t="s">
        <v>26</v>
      </c>
      <c r="F183" s="11" t="s">
        <v>13</v>
      </c>
      <c r="G183" s="11" t="s">
        <v>14</v>
      </c>
      <c r="H183" s="31" t="str">
        <f t="shared" si="5"/>
        <v xml:space="preserve">2 Tahun </v>
      </c>
      <c r="I183" s="12">
        <f t="shared" si="4"/>
        <v>15000000</v>
      </c>
      <c r="J183" s="13">
        <v>3</v>
      </c>
    </row>
    <row r="184" spans="1:10" x14ac:dyDescent="0.25">
      <c r="A184" s="6" t="s">
        <v>382</v>
      </c>
      <c r="B184" s="7" t="s">
        <v>383</v>
      </c>
      <c r="C184" s="7" t="s">
        <v>49</v>
      </c>
      <c r="D184" s="7" t="s">
        <v>11</v>
      </c>
      <c r="E184" s="7" t="s">
        <v>40</v>
      </c>
      <c r="F184" s="7" t="s">
        <v>22</v>
      </c>
      <c r="G184" s="7" t="s">
        <v>18</v>
      </c>
      <c r="H184" s="31" t="str">
        <f t="shared" si="5"/>
        <v>1 Tahun</v>
      </c>
      <c r="I184" s="8">
        <f t="shared" si="4"/>
        <v>7000000</v>
      </c>
      <c r="J184" s="9">
        <v>3</v>
      </c>
    </row>
    <row r="185" spans="1:10" x14ac:dyDescent="0.25">
      <c r="A185" s="10" t="s">
        <v>384</v>
      </c>
      <c r="B185" s="11" t="s">
        <v>385</v>
      </c>
      <c r="C185" s="11" t="s">
        <v>10</v>
      </c>
      <c r="D185" s="11" t="s">
        <v>25</v>
      </c>
      <c r="E185" s="11" t="s">
        <v>40</v>
      </c>
      <c r="F185" s="11" t="s">
        <v>22</v>
      </c>
      <c r="G185" s="11" t="s">
        <v>14</v>
      </c>
      <c r="H185" s="31" t="str">
        <f t="shared" si="5"/>
        <v>1 Tahun</v>
      </c>
      <c r="I185" s="12">
        <f t="shared" si="4"/>
        <v>7000000</v>
      </c>
      <c r="J185" s="13">
        <v>5</v>
      </c>
    </row>
    <row r="186" spans="1:10" x14ac:dyDescent="0.25">
      <c r="A186" s="6" t="s">
        <v>386</v>
      </c>
      <c r="B186" s="7" t="s">
        <v>387</v>
      </c>
      <c r="C186" s="7" t="s">
        <v>10</v>
      </c>
      <c r="D186" s="7" t="s">
        <v>17</v>
      </c>
      <c r="E186" s="7" t="s">
        <v>26</v>
      </c>
      <c r="F186" s="7" t="s">
        <v>22</v>
      </c>
      <c r="G186" s="7" t="s">
        <v>14</v>
      </c>
      <c r="H186" s="31" t="str">
        <f t="shared" si="5"/>
        <v xml:space="preserve">2 Tahun </v>
      </c>
      <c r="I186" s="8">
        <f t="shared" si="4"/>
        <v>15000000</v>
      </c>
      <c r="J186" s="9">
        <v>3</v>
      </c>
    </row>
    <row r="187" spans="1:10" x14ac:dyDescent="0.25">
      <c r="A187" s="10" t="s">
        <v>388</v>
      </c>
      <c r="B187" s="11" t="s">
        <v>389</v>
      </c>
      <c r="C187" s="11" t="s">
        <v>10</v>
      </c>
      <c r="D187" s="11" t="s">
        <v>21</v>
      </c>
      <c r="E187" s="11" t="s">
        <v>12</v>
      </c>
      <c r="F187" s="11" t="s">
        <v>13</v>
      </c>
      <c r="G187" s="11" t="s">
        <v>14</v>
      </c>
      <c r="H187" s="31" t="str">
        <f t="shared" si="5"/>
        <v>5 Tahun</v>
      </c>
      <c r="I187" s="12">
        <f t="shared" si="4"/>
        <v>20000000</v>
      </c>
      <c r="J187" s="13">
        <v>5</v>
      </c>
    </row>
    <row r="188" spans="1:10" x14ac:dyDescent="0.25">
      <c r="A188" s="6" t="s">
        <v>390</v>
      </c>
      <c r="B188" s="7" t="s">
        <v>391</v>
      </c>
      <c r="C188" s="7" t="s">
        <v>10</v>
      </c>
      <c r="D188" s="7" t="s">
        <v>11</v>
      </c>
      <c r="E188" s="7" t="s">
        <v>26</v>
      </c>
      <c r="F188" s="7" t="s">
        <v>13</v>
      </c>
      <c r="G188" s="7" t="s">
        <v>18</v>
      </c>
      <c r="H188" s="31" t="str">
        <f t="shared" si="5"/>
        <v xml:space="preserve">2 Tahun </v>
      </c>
      <c r="I188" s="8">
        <f t="shared" si="4"/>
        <v>15000000</v>
      </c>
      <c r="J188" s="9">
        <v>3</v>
      </c>
    </row>
    <row r="189" spans="1:10" x14ac:dyDescent="0.25">
      <c r="A189" s="10" t="s">
        <v>392</v>
      </c>
      <c r="B189" s="11" t="s">
        <v>393</v>
      </c>
      <c r="C189" s="11" t="s">
        <v>10</v>
      </c>
      <c r="D189" s="11" t="s">
        <v>21</v>
      </c>
      <c r="E189" s="11" t="s">
        <v>40</v>
      </c>
      <c r="F189" s="11" t="s">
        <v>22</v>
      </c>
      <c r="G189" s="11" t="s">
        <v>18</v>
      </c>
      <c r="H189" s="31" t="str">
        <f t="shared" si="5"/>
        <v>1 Tahun</v>
      </c>
      <c r="I189" s="12">
        <f t="shared" si="4"/>
        <v>7000000</v>
      </c>
      <c r="J189" s="13">
        <v>3</v>
      </c>
    </row>
    <row r="190" spans="1:10" x14ac:dyDescent="0.25">
      <c r="A190" s="6" t="s">
        <v>394</v>
      </c>
      <c r="B190" s="7" t="s">
        <v>395</v>
      </c>
      <c r="C190" s="7" t="s">
        <v>10</v>
      </c>
      <c r="D190" s="7" t="s">
        <v>21</v>
      </c>
      <c r="E190" s="7" t="s">
        <v>26</v>
      </c>
      <c r="F190" s="7" t="s">
        <v>22</v>
      </c>
      <c r="G190" s="7" t="s">
        <v>14</v>
      </c>
      <c r="H190" s="31" t="str">
        <f t="shared" si="5"/>
        <v xml:space="preserve">2 Tahun </v>
      </c>
      <c r="I190" s="8">
        <f t="shared" si="4"/>
        <v>15000000</v>
      </c>
      <c r="J190" s="9">
        <v>5</v>
      </c>
    </row>
    <row r="191" spans="1:10" x14ac:dyDescent="0.25">
      <c r="A191" s="10" t="s">
        <v>396</v>
      </c>
      <c r="B191" s="11" t="s">
        <v>397</v>
      </c>
      <c r="C191" s="11" t="s">
        <v>10</v>
      </c>
      <c r="D191" s="11" t="s">
        <v>29</v>
      </c>
      <c r="E191" s="11" t="s">
        <v>40</v>
      </c>
      <c r="F191" s="11" t="s">
        <v>22</v>
      </c>
      <c r="G191" s="11" t="s">
        <v>18</v>
      </c>
      <c r="H191" s="31" t="str">
        <f t="shared" si="5"/>
        <v>1 Tahun</v>
      </c>
      <c r="I191" s="12">
        <f t="shared" si="4"/>
        <v>7000000</v>
      </c>
      <c r="J191" s="13">
        <v>4</v>
      </c>
    </row>
    <row r="192" spans="1:10" x14ac:dyDescent="0.25">
      <c r="A192" s="6" t="s">
        <v>398</v>
      </c>
      <c r="B192" s="7" t="s">
        <v>399</v>
      </c>
      <c r="C192" s="7" t="s">
        <v>49</v>
      </c>
      <c r="D192" s="7" t="s">
        <v>29</v>
      </c>
      <c r="E192" s="7" t="s">
        <v>40</v>
      </c>
      <c r="F192" s="7" t="s">
        <v>13</v>
      </c>
      <c r="G192" s="7" t="s">
        <v>14</v>
      </c>
      <c r="H192" s="31" t="str">
        <f t="shared" si="5"/>
        <v>1 Tahun</v>
      </c>
      <c r="I192" s="8">
        <f t="shared" si="4"/>
        <v>7000000</v>
      </c>
      <c r="J192" s="9">
        <v>4</v>
      </c>
    </row>
    <row r="193" spans="1:10" x14ac:dyDescent="0.25">
      <c r="A193" s="10" t="s">
        <v>400</v>
      </c>
      <c r="B193" s="11" t="s">
        <v>401</v>
      </c>
      <c r="C193" s="11" t="s">
        <v>10</v>
      </c>
      <c r="D193" s="11" t="s">
        <v>21</v>
      </c>
      <c r="E193" s="11" t="s">
        <v>40</v>
      </c>
      <c r="F193" s="11" t="s">
        <v>13</v>
      </c>
      <c r="G193" s="11" t="s">
        <v>14</v>
      </c>
      <c r="H193" s="31" t="str">
        <f t="shared" si="5"/>
        <v>1 Tahun</v>
      </c>
      <c r="I193" s="12">
        <f t="shared" si="4"/>
        <v>7000000</v>
      </c>
      <c r="J193" s="13">
        <v>4</v>
      </c>
    </row>
    <row r="194" spans="1:10" x14ac:dyDescent="0.25">
      <c r="A194" s="6" t="s">
        <v>402</v>
      </c>
      <c r="B194" s="7" t="s">
        <v>403</v>
      </c>
      <c r="C194" s="7" t="s">
        <v>10</v>
      </c>
      <c r="D194" s="7" t="s">
        <v>29</v>
      </c>
      <c r="E194" s="7" t="s">
        <v>26</v>
      </c>
      <c r="F194" s="7" t="s">
        <v>22</v>
      </c>
      <c r="G194" s="7" t="s">
        <v>18</v>
      </c>
      <c r="H194" s="31" t="str">
        <f t="shared" si="5"/>
        <v xml:space="preserve">2 Tahun </v>
      </c>
      <c r="I194" s="8">
        <f t="shared" si="4"/>
        <v>15000000</v>
      </c>
      <c r="J194" s="9">
        <v>5</v>
      </c>
    </row>
    <row r="195" spans="1:10" x14ac:dyDescent="0.25">
      <c r="A195" s="10" t="s">
        <v>404</v>
      </c>
      <c r="B195" s="11" t="s">
        <v>405</v>
      </c>
      <c r="C195" s="11" t="s">
        <v>10</v>
      </c>
      <c r="D195" s="11" t="s">
        <v>11</v>
      </c>
      <c r="E195" s="11" t="s">
        <v>12</v>
      </c>
      <c r="F195" s="11" t="s">
        <v>13</v>
      </c>
      <c r="G195" s="11" t="s">
        <v>18</v>
      </c>
      <c r="H195" s="31" t="str">
        <f t="shared" si="5"/>
        <v>5 Tahun</v>
      </c>
      <c r="I195" s="12">
        <f t="shared" si="4"/>
        <v>20000000</v>
      </c>
      <c r="J195" s="13">
        <v>3</v>
      </c>
    </row>
    <row r="196" spans="1:10" x14ac:dyDescent="0.25">
      <c r="A196" s="6" t="s">
        <v>406</v>
      </c>
      <c r="B196" s="7" t="s">
        <v>407</v>
      </c>
      <c r="C196" s="7" t="s">
        <v>10</v>
      </c>
      <c r="D196" s="7" t="s">
        <v>11</v>
      </c>
      <c r="E196" s="7" t="s">
        <v>12</v>
      </c>
      <c r="F196" s="7" t="s">
        <v>22</v>
      </c>
      <c r="G196" s="7" t="s">
        <v>14</v>
      </c>
      <c r="H196" s="31" t="str">
        <f t="shared" si="5"/>
        <v>5 Tahun</v>
      </c>
      <c r="I196" s="8">
        <f t="shared" si="4"/>
        <v>20000000</v>
      </c>
      <c r="J196" s="9">
        <v>4</v>
      </c>
    </row>
    <row r="197" spans="1:10" x14ac:dyDescent="0.25">
      <c r="A197" s="10" t="s">
        <v>408</v>
      </c>
      <c r="B197" s="11" t="s">
        <v>409</v>
      </c>
      <c r="C197" s="11" t="s">
        <v>10</v>
      </c>
      <c r="D197" s="11" t="s">
        <v>17</v>
      </c>
      <c r="E197" s="11" t="s">
        <v>26</v>
      </c>
      <c r="F197" s="11" t="s">
        <v>13</v>
      </c>
      <c r="G197" s="11" t="s">
        <v>14</v>
      </c>
      <c r="H197" s="31" t="str">
        <f t="shared" si="5"/>
        <v xml:space="preserve">2 Tahun </v>
      </c>
      <c r="I197" s="12">
        <f t="shared" ref="I197:I260" si="6">IF(E197="Manager",20000000,IF(E197="Senior",15000000,7000000))</f>
        <v>15000000</v>
      </c>
      <c r="J197" s="13">
        <v>4</v>
      </c>
    </row>
    <row r="198" spans="1:10" x14ac:dyDescent="0.25">
      <c r="A198" s="6" t="s">
        <v>410</v>
      </c>
      <c r="B198" s="7" t="s">
        <v>411</v>
      </c>
      <c r="C198" s="7" t="s">
        <v>10</v>
      </c>
      <c r="D198" s="7" t="s">
        <v>21</v>
      </c>
      <c r="E198" s="7" t="s">
        <v>12</v>
      </c>
      <c r="F198" s="7" t="s">
        <v>22</v>
      </c>
      <c r="G198" s="7" t="s">
        <v>14</v>
      </c>
      <c r="H198" s="31" t="str">
        <f t="shared" si="5"/>
        <v>5 Tahun</v>
      </c>
      <c r="I198" s="8">
        <f t="shared" si="6"/>
        <v>20000000</v>
      </c>
      <c r="J198" s="9">
        <v>3</v>
      </c>
    </row>
    <row r="199" spans="1:10" x14ac:dyDescent="0.25">
      <c r="A199" s="10" t="s">
        <v>412</v>
      </c>
      <c r="B199" s="11" t="s">
        <v>413</v>
      </c>
      <c r="C199" s="11" t="s">
        <v>10</v>
      </c>
      <c r="D199" s="11" t="s">
        <v>25</v>
      </c>
      <c r="E199" s="11" t="s">
        <v>40</v>
      </c>
      <c r="F199" s="11" t="s">
        <v>13</v>
      </c>
      <c r="G199" s="11" t="s">
        <v>14</v>
      </c>
      <c r="H199" s="31" t="str">
        <f t="shared" ref="H199:H262" si="7">IF(E199="Manager","5 Tahun",IF(E199="Senior","2 Tahun ","1 Tahun"))</f>
        <v>1 Tahun</v>
      </c>
      <c r="I199" s="12">
        <f t="shared" si="6"/>
        <v>7000000</v>
      </c>
      <c r="J199" s="13">
        <v>5</v>
      </c>
    </row>
    <row r="200" spans="1:10" x14ac:dyDescent="0.25">
      <c r="A200" s="6" t="s">
        <v>414</v>
      </c>
      <c r="B200" s="7" t="s">
        <v>415</v>
      </c>
      <c r="C200" s="7" t="s">
        <v>10</v>
      </c>
      <c r="D200" s="7" t="s">
        <v>11</v>
      </c>
      <c r="E200" s="7" t="s">
        <v>40</v>
      </c>
      <c r="F200" s="7" t="s">
        <v>22</v>
      </c>
      <c r="G200" s="7" t="s">
        <v>18</v>
      </c>
      <c r="H200" s="31" t="str">
        <f t="shared" si="7"/>
        <v>1 Tahun</v>
      </c>
      <c r="I200" s="8">
        <f t="shared" si="6"/>
        <v>7000000</v>
      </c>
      <c r="J200" s="9">
        <v>5</v>
      </c>
    </row>
    <row r="201" spans="1:10" x14ac:dyDescent="0.25">
      <c r="A201" s="10" t="s">
        <v>416</v>
      </c>
      <c r="B201" s="11" t="s">
        <v>417</v>
      </c>
      <c r="C201" s="11" t="s">
        <v>10</v>
      </c>
      <c r="D201" s="11" t="s">
        <v>21</v>
      </c>
      <c r="E201" s="11" t="s">
        <v>40</v>
      </c>
      <c r="F201" s="11" t="s">
        <v>13</v>
      </c>
      <c r="G201" s="11" t="s">
        <v>18</v>
      </c>
      <c r="H201" s="31" t="str">
        <f t="shared" si="7"/>
        <v>1 Tahun</v>
      </c>
      <c r="I201" s="12">
        <f t="shared" si="6"/>
        <v>7000000</v>
      </c>
      <c r="J201" s="13">
        <v>3</v>
      </c>
    </row>
    <row r="202" spans="1:10" x14ac:dyDescent="0.25">
      <c r="A202" s="6" t="s">
        <v>418</v>
      </c>
      <c r="B202" s="7" t="s">
        <v>419</v>
      </c>
      <c r="C202" s="7" t="s">
        <v>10</v>
      </c>
      <c r="D202" s="7" t="s">
        <v>21</v>
      </c>
      <c r="E202" s="7" t="s">
        <v>12</v>
      </c>
      <c r="F202" s="7" t="s">
        <v>13</v>
      </c>
      <c r="G202" s="7" t="s">
        <v>18</v>
      </c>
      <c r="H202" s="31" t="str">
        <f t="shared" si="7"/>
        <v>5 Tahun</v>
      </c>
      <c r="I202" s="8">
        <f t="shared" si="6"/>
        <v>20000000</v>
      </c>
      <c r="J202" s="9">
        <v>3</v>
      </c>
    </row>
    <row r="203" spans="1:10" x14ac:dyDescent="0.25">
      <c r="A203" s="10" t="s">
        <v>420</v>
      </c>
      <c r="B203" s="11" t="s">
        <v>421</v>
      </c>
      <c r="C203" s="11" t="s">
        <v>49</v>
      </c>
      <c r="D203" s="11" t="s">
        <v>11</v>
      </c>
      <c r="E203" s="11" t="s">
        <v>26</v>
      </c>
      <c r="F203" s="11" t="s">
        <v>22</v>
      </c>
      <c r="G203" s="11" t="s">
        <v>18</v>
      </c>
      <c r="H203" s="31" t="str">
        <f t="shared" si="7"/>
        <v xml:space="preserve">2 Tahun </v>
      </c>
      <c r="I203" s="12">
        <f t="shared" si="6"/>
        <v>15000000</v>
      </c>
      <c r="J203" s="13">
        <v>5</v>
      </c>
    </row>
    <row r="204" spans="1:10" x14ac:dyDescent="0.25">
      <c r="A204" s="6" t="s">
        <v>422</v>
      </c>
      <c r="B204" s="7" t="s">
        <v>423</v>
      </c>
      <c r="C204" s="7" t="s">
        <v>49</v>
      </c>
      <c r="D204" s="7" t="s">
        <v>11</v>
      </c>
      <c r="E204" s="7" t="s">
        <v>26</v>
      </c>
      <c r="F204" s="7" t="s">
        <v>22</v>
      </c>
      <c r="G204" s="7" t="s">
        <v>18</v>
      </c>
      <c r="H204" s="31" t="str">
        <f t="shared" si="7"/>
        <v xml:space="preserve">2 Tahun </v>
      </c>
      <c r="I204" s="8">
        <f t="shared" si="6"/>
        <v>15000000</v>
      </c>
      <c r="J204" s="9">
        <v>5</v>
      </c>
    </row>
    <row r="205" spans="1:10" x14ac:dyDescent="0.25">
      <c r="A205" s="10" t="s">
        <v>424</v>
      </c>
      <c r="B205" s="11" t="s">
        <v>425</v>
      </c>
      <c r="C205" s="11" t="s">
        <v>10</v>
      </c>
      <c r="D205" s="11" t="s">
        <v>21</v>
      </c>
      <c r="E205" s="11" t="s">
        <v>12</v>
      </c>
      <c r="F205" s="11" t="s">
        <v>22</v>
      </c>
      <c r="G205" s="11" t="s">
        <v>14</v>
      </c>
      <c r="H205" s="31" t="str">
        <f t="shared" si="7"/>
        <v>5 Tahun</v>
      </c>
      <c r="I205" s="12">
        <f t="shared" si="6"/>
        <v>20000000</v>
      </c>
      <c r="J205" s="13">
        <v>5</v>
      </c>
    </row>
    <row r="206" spans="1:10" x14ac:dyDescent="0.25">
      <c r="A206" s="6" t="s">
        <v>426</v>
      </c>
      <c r="B206" s="7" t="s">
        <v>427</v>
      </c>
      <c r="C206" s="7" t="s">
        <v>10</v>
      </c>
      <c r="D206" s="7" t="s">
        <v>29</v>
      </c>
      <c r="E206" s="7" t="s">
        <v>40</v>
      </c>
      <c r="F206" s="7" t="s">
        <v>22</v>
      </c>
      <c r="G206" s="7" t="s">
        <v>18</v>
      </c>
      <c r="H206" s="31" t="str">
        <f t="shared" si="7"/>
        <v>1 Tahun</v>
      </c>
      <c r="I206" s="8">
        <f t="shared" si="6"/>
        <v>7000000</v>
      </c>
      <c r="J206" s="9">
        <v>4</v>
      </c>
    </row>
    <row r="207" spans="1:10" x14ac:dyDescent="0.25">
      <c r="A207" s="10" t="s">
        <v>428</v>
      </c>
      <c r="B207" s="11" t="s">
        <v>429</v>
      </c>
      <c r="C207" s="11" t="s">
        <v>49</v>
      </c>
      <c r="D207" s="11" t="s">
        <v>29</v>
      </c>
      <c r="E207" s="11" t="s">
        <v>26</v>
      </c>
      <c r="F207" s="11" t="s">
        <v>13</v>
      </c>
      <c r="G207" s="11" t="s">
        <v>18</v>
      </c>
      <c r="H207" s="31" t="str">
        <f t="shared" si="7"/>
        <v xml:space="preserve">2 Tahun </v>
      </c>
      <c r="I207" s="12">
        <f t="shared" si="6"/>
        <v>15000000</v>
      </c>
      <c r="J207" s="13">
        <v>4</v>
      </c>
    </row>
    <row r="208" spans="1:10" x14ac:dyDescent="0.25">
      <c r="A208" s="6" t="s">
        <v>430</v>
      </c>
      <c r="B208" s="7" t="s">
        <v>431</v>
      </c>
      <c r="C208" s="7" t="s">
        <v>49</v>
      </c>
      <c r="D208" s="7" t="s">
        <v>29</v>
      </c>
      <c r="E208" s="7" t="s">
        <v>26</v>
      </c>
      <c r="F208" s="7" t="s">
        <v>13</v>
      </c>
      <c r="G208" s="7" t="s">
        <v>18</v>
      </c>
      <c r="H208" s="31" t="str">
        <f t="shared" si="7"/>
        <v xml:space="preserve">2 Tahun </v>
      </c>
      <c r="I208" s="8">
        <f t="shared" si="6"/>
        <v>15000000</v>
      </c>
      <c r="J208" s="9">
        <v>5</v>
      </c>
    </row>
    <row r="209" spans="1:10" x14ac:dyDescent="0.25">
      <c r="A209" s="10" t="s">
        <v>432</v>
      </c>
      <c r="B209" s="11" t="s">
        <v>433</v>
      </c>
      <c r="C209" s="11" t="s">
        <v>10</v>
      </c>
      <c r="D209" s="11" t="s">
        <v>25</v>
      </c>
      <c r="E209" s="11" t="s">
        <v>12</v>
      </c>
      <c r="F209" s="11" t="s">
        <v>22</v>
      </c>
      <c r="G209" s="11" t="s">
        <v>14</v>
      </c>
      <c r="H209" s="31" t="str">
        <f t="shared" si="7"/>
        <v>5 Tahun</v>
      </c>
      <c r="I209" s="12">
        <f t="shared" si="6"/>
        <v>20000000</v>
      </c>
      <c r="J209" s="13">
        <v>4</v>
      </c>
    </row>
    <row r="210" spans="1:10" x14ac:dyDescent="0.25">
      <c r="A210" s="6" t="s">
        <v>434</v>
      </c>
      <c r="B210" s="7" t="s">
        <v>435</v>
      </c>
      <c r="C210" s="7" t="s">
        <v>10</v>
      </c>
      <c r="D210" s="7" t="s">
        <v>21</v>
      </c>
      <c r="E210" s="7" t="s">
        <v>12</v>
      </c>
      <c r="F210" s="7" t="s">
        <v>22</v>
      </c>
      <c r="G210" s="7" t="s">
        <v>14</v>
      </c>
      <c r="H210" s="31" t="str">
        <f t="shared" si="7"/>
        <v>5 Tahun</v>
      </c>
      <c r="I210" s="8">
        <f t="shared" si="6"/>
        <v>20000000</v>
      </c>
      <c r="J210" s="9">
        <v>3</v>
      </c>
    </row>
    <row r="211" spans="1:10" x14ac:dyDescent="0.25">
      <c r="A211" s="10" t="s">
        <v>436</v>
      </c>
      <c r="B211" s="11" t="s">
        <v>437</v>
      </c>
      <c r="C211" s="11" t="s">
        <v>10</v>
      </c>
      <c r="D211" s="11" t="s">
        <v>25</v>
      </c>
      <c r="E211" s="11" t="s">
        <v>12</v>
      </c>
      <c r="F211" s="11" t="s">
        <v>13</v>
      </c>
      <c r="G211" s="11" t="s">
        <v>18</v>
      </c>
      <c r="H211" s="31" t="str">
        <f t="shared" si="7"/>
        <v>5 Tahun</v>
      </c>
      <c r="I211" s="12">
        <f t="shared" si="6"/>
        <v>20000000</v>
      </c>
      <c r="J211" s="13">
        <v>3</v>
      </c>
    </row>
    <row r="212" spans="1:10" x14ac:dyDescent="0.25">
      <c r="A212" s="6" t="s">
        <v>438</v>
      </c>
      <c r="B212" s="7" t="s">
        <v>439</v>
      </c>
      <c r="C212" s="7" t="s">
        <v>10</v>
      </c>
      <c r="D212" s="7" t="s">
        <v>17</v>
      </c>
      <c r="E212" s="7" t="s">
        <v>12</v>
      </c>
      <c r="F212" s="7" t="s">
        <v>22</v>
      </c>
      <c r="G212" s="7" t="s">
        <v>14</v>
      </c>
      <c r="H212" s="31" t="str">
        <f t="shared" si="7"/>
        <v>5 Tahun</v>
      </c>
      <c r="I212" s="8">
        <f t="shared" si="6"/>
        <v>20000000</v>
      </c>
      <c r="J212" s="9">
        <v>3</v>
      </c>
    </row>
    <row r="213" spans="1:10" x14ac:dyDescent="0.25">
      <c r="A213" s="10" t="s">
        <v>440</v>
      </c>
      <c r="B213" s="11" t="s">
        <v>441</v>
      </c>
      <c r="C213" s="11" t="s">
        <v>10</v>
      </c>
      <c r="D213" s="11" t="s">
        <v>21</v>
      </c>
      <c r="E213" s="11" t="s">
        <v>26</v>
      </c>
      <c r="F213" s="11" t="s">
        <v>22</v>
      </c>
      <c r="G213" s="11" t="s">
        <v>18</v>
      </c>
      <c r="H213" s="31" t="str">
        <f t="shared" si="7"/>
        <v xml:space="preserve">2 Tahun </v>
      </c>
      <c r="I213" s="12">
        <f t="shared" si="6"/>
        <v>15000000</v>
      </c>
      <c r="J213" s="13">
        <v>3</v>
      </c>
    </row>
    <row r="214" spans="1:10" x14ac:dyDescent="0.25">
      <c r="A214" s="6" t="s">
        <v>442</v>
      </c>
      <c r="B214" s="7" t="s">
        <v>443</v>
      </c>
      <c r="C214" s="7" t="s">
        <v>10</v>
      </c>
      <c r="D214" s="7" t="s">
        <v>25</v>
      </c>
      <c r="E214" s="7" t="s">
        <v>26</v>
      </c>
      <c r="F214" s="7" t="s">
        <v>13</v>
      </c>
      <c r="G214" s="7" t="s">
        <v>18</v>
      </c>
      <c r="H214" s="31" t="str">
        <f t="shared" si="7"/>
        <v xml:space="preserve">2 Tahun </v>
      </c>
      <c r="I214" s="8">
        <f t="shared" si="6"/>
        <v>15000000</v>
      </c>
      <c r="J214" s="9">
        <v>5</v>
      </c>
    </row>
    <row r="215" spans="1:10" x14ac:dyDescent="0.25">
      <c r="A215" s="10" t="s">
        <v>444</v>
      </c>
      <c r="B215" s="11" t="s">
        <v>445</v>
      </c>
      <c r="C215" s="11" t="s">
        <v>49</v>
      </c>
      <c r="D215" s="11" t="s">
        <v>29</v>
      </c>
      <c r="E215" s="11" t="s">
        <v>26</v>
      </c>
      <c r="F215" s="11" t="s">
        <v>13</v>
      </c>
      <c r="G215" s="11" t="s">
        <v>14</v>
      </c>
      <c r="H215" s="31" t="str">
        <f t="shared" si="7"/>
        <v xml:space="preserve">2 Tahun </v>
      </c>
      <c r="I215" s="12">
        <f t="shared" si="6"/>
        <v>15000000</v>
      </c>
      <c r="J215" s="13">
        <v>5</v>
      </c>
    </row>
    <row r="216" spans="1:10" x14ac:dyDescent="0.25">
      <c r="A216" s="6" t="s">
        <v>446</v>
      </c>
      <c r="B216" s="7" t="s">
        <v>447</v>
      </c>
      <c r="C216" s="7" t="s">
        <v>10</v>
      </c>
      <c r="D216" s="7" t="s">
        <v>11</v>
      </c>
      <c r="E216" s="7" t="s">
        <v>40</v>
      </c>
      <c r="F216" s="7" t="s">
        <v>22</v>
      </c>
      <c r="G216" s="7" t="s">
        <v>14</v>
      </c>
      <c r="H216" s="31" t="str">
        <f t="shared" si="7"/>
        <v>1 Tahun</v>
      </c>
      <c r="I216" s="8">
        <f t="shared" si="6"/>
        <v>7000000</v>
      </c>
      <c r="J216" s="9">
        <v>4</v>
      </c>
    </row>
    <row r="217" spans="1:10" x14ac:dyDescent="0.25">
      <c r="A217" s="10" t="s">
        <v>448</v>
      </c>
      <c r="B217" s="11" t="s">
        <v>449</v>
      </c>
      <c r="C217" s="11" t="s">
        <v>10</v>
      </c>
      <c r="D217" s="11" t="s">
        <v>21</v>
      </c>
      <c r="E217" s="11" t="s">
        <v>12</v>
      </c>
      <c r="F217" s="11" t="s">
        <v>22</v>
      </c>
      <c r="G217" s="11" t="s">
        <v>14</v>
      </c>
      <c r="H217" s="31" t="str">
        <f t="shared" si="7"/>
        <v>5 Tahun</v>
      </c>
      <c r="I217" s="12">
        <f t="shared" si="6"/>
        <v>20000000</v>
      </c>
      <c r="J217" s="13">
        <v>3</v>
      </c>
    </row>
    <row r="218" spans="1:10" x14ac:dyDescent="0.25">
      <c r="A218" s="6" t="s">
        <v>450</v>
      </c>
      <c r="B218" s="7" t="s">
        <v>451</v>
      </c>
      <c r="C218" s="7" t="s">
        <v>10</v>
      </c>
      <c r="D218" s="7" t="s">
        <v>21</v>
      </c>
      <c r="E218" s="7" t="s">
        <v>40</v>
      </c>
      <c r="F218" s="7" t="s">
        <v>13</v>
      </c>
      <c r="G218" s="7" t="s">
        <v>18</v>
      </c>
      <c r="H218" s="31" t="str">
        <f t="shared" si="7"/>
        <v>1 Tahun</v>
      </c>
      <c r="I218" s="8">
        <f t="shared" si="6"/>
        <v>7000000</v>
      </c>
      <c r="J218" s="9">
        <v>5</v>
      </c>
    </row>
    <row r="219" spans="1:10" x14ac:dyDescent="0.25">
      <c r="A219" s="10" t="s">
        <v>452</v>
      </c>
      <c r="B219" s="11" t="s">
        <v>453</v>
      </c>
      <c r="C219" s="11" t="s">
        <v>49</v>
      </c>
      <c r="D219" s="11" t="s">
        <v>21</v>
      </c>
      <c r="E219" s="11" t="s">
        <v>26</v>
      </c>
      <c r="F219" s="11" t="s">
        <v>22</v>
      </c>
      <c r="G219" s="11" t="s">
        <v>18</v>
      </c>
      <c r="H219" s="31" t="str">
        <f t="shared" si="7"/>
        <v xml:space="preserve">2 Tahun </v>
      </c>
      <c r="I219" s="12">
        <f t="shared" si="6"/>
        <v>15000000</v>
      </c>
      <c r="J219" s="13">
        <v>3</v>
      </c>
    </row>
    <row r="220" spans="1:10" x14ac:dyDescent="0.25">
      <c r="A220" s="6" t="s">
        <v>454</v>
      </c>
      <c r="B220" s="7" t="s">
        <v>455</v>
      </c>
      <c r="C220" s="7" t="s">
        <v>49</v>
      </c>
      <c r="D220" s="7" t="s">
        <v>29</v>
      </c>
      <c r="E220" s="7" t="s">
        <v>40</v>
      </c>
      <c r="F220" s="7" t="s">
        <v>13</v>
      </c>
      <c r="G220" s="7" t="s">
        <v>18</v>
      </c>
      <c r="H220" s="31" t="str">
        <f t="shared" si="7"/>
        <v>1 Tahun</v>
      </c>
      <c r="I220" s="8">
        <f t="shared" si="6"/>
        <v>7000000</v>
      </c>
      <c r="J220" s="9">
        <v>3</v>
      </c>
    </row>
    <row r="221" spans="1:10" x14ac:dyDescent="0.25">
      <c r="A221" s="10" t="s">
        <v>456</v>
      </c>
      <c r="B221" s="11" t="s">
        <v>457</v>
      </c>
      <c r="C221" s="11" t="s">
        <v>10</v>
      </c>
      <c r="D221" s="11" t="s">
        <v>11</v>
      </c>
      <c r="E221" s="11" t="s">
        <v>26</v>
      </c>
      <c r="F221" s="11" t="s">
        <v>22</v>
      </c>
      <c r="G221" s="11" t="s">
        <v>14</v>
      </c>
      <c r="H221" s="31" t="str">
        <f t="shared" si="7"/>
        <v xml:space="preserve">2 Tahun </v>
      </c>
      <c r="I221" s="12">
        <f t="shared" si="6"/>
        <v>15000000</v>
      </c>
      <c r="J221" s="13">
        <v>5</v>
      </c>
    </row>
    <row r="222" spans="1:10" x14ac:dyDescent="0.25">
      <c r="A222" s="6" t="s">
        <v>458</v>
      </c>
      <c r="B222" s="7" t="s">
        <v>459</v>
      </c>
      <c r="C222" s="7" t="s">
        <v>10</v>
      </c>
      <c r="D222" s="7" t="s">
        <v>21</v>
      </c>
      <c r="E222" s="7" t="s">
        <v>26</v>
      </c>
      <c r="F222" s="7" t="s">
        <v>13</v>
      </c>
      <c r="G222" s="7" t="s">
        <v>14</v>
      </c>
      <c r="H222" s="31" t="str">
        <f t="shared" si="7"/>
        <v xml:space="preserve">2 Tahun </v>
      </c>
      <c r="I222" s="8">
        <f t="shared" si="6"/>
        <v>15000000</v>
      </c>
      <c r="J222" s="9">
        <v>5</v>
      </c>
    </row>
    <row r="223" spans="1:10" x14ac:dyDescent="0.25">
      <c r="A223" s="10" t="s">
        <v>460</v>
      </c>
      <c r="B223" s="11" t="s">
        <v>461</v>
      </c>
      <c r="C223" s="11" t="s">
        <v>10</v>
      </c>
      <c r="D223" s="11" t="s">
        <v>11</v>
      </c>
      <c r="E223" s="11" t="s">
        <v>26</v>
      </c>
      <c r="F223" s="11" t="s">
        <v>13</v>
      </c>
      <c r="G223" s="11" t="s">
        <v>18</v>
      </c>
      <c r="H223" s="31" t="str">
        <f t="shared" si="7"/>
        <v xml:space="preserve">2 Tahun </v>
      </c>
      <c r="I223" s="12">
        <f t="shared" si="6"/>
        <v>15000000</v>
      </c>
      <c r="J223" s="13">
        <v>3</v>
      </c>
    </row>
    <row r="224" spans="1:10" x14ac:dyDescent="0.25">
      <c r="A224" s="6" t="s">
        <v>462</v>
      </c>
      <c r="B224" s="7" t="s">
        <v>463</v>
      </c>
      <c r="C224" s="7" t="s">
        <v>10</v>
      </c>
      <c r="D224" s="7" t="s">
        <v>29</v>
      </c>
      <c r="E224" s="7" t="s">
        <v>12</v>
      </c>
      <c r="F224" s="7" t="s">
        <v>13</v>
      </c>
      <c r="G224" s="7" t="s">
        <v>18</v>
      </c>
      <c r="H224" s="31" t="str">
        <f t="shared" si="7"/>
        <v>5 Tahun</v>
      </c>
      <c r="I224" s="8">
        <f t="shared" si="6"/>
        <v>20000000</v>
      </c>
      <c r="J224" s="9">
        <v>4</v>
      </c>
    </row>
    <row r="225" spans="1:10" x14ac:dyDescent="0.25">
      <c r="A225" s="10" t="s">
        <v>464</v>
      </c>
      <c r="B225" s="11" t="s">
        <v>465</v>
      </c>
      <c r="C225" s="11" t="s">
        <v>10</v>
      </c>
      <c r="D225" s="11" t="s">
        <v>25</v>
      </c>
      <c r="E225" s="11" t="s">
        <v>26</v>
      </c>
      <c r="F225" s="11" t="s">
        <v>13</v>
      </c>
      <c r="G225" s="11" t="s">
        <v>14</v>
      </c>
      <c r="H225" s="31" t="str">
        <f t="shared" si="7"/>
        <v xml:space="preserve">2 Tahun </v>
      </c>
      <c r="I225" s="12">
        <f t="shared" si="6"/>
        <v>15000000</v>
      </c>
      <c r="J225" s="13">
        <v>4</v>
      </c>
    </row>
    <row r="226" spans="1:10" x14ac:dyDescent="0.25">
      <c r="A226" s="6" t="s">
        <v>466</v>
      </c>
      <c r="B226" s="7" t="s">
        <v>467</v>
      </c>
      <c r="C226" s="7" t="s">
        <v>49</v>
      </c>
      <c r="D226" s="7" t="s">
        <v>25</v>
      </c>
      <c r="E226" s="7" t="s">
        <v>26</v>
      </c>
      <c r="F226" s="7" t="s">
        <v>22</v>
      </c>
      <c r="G226" s="7" t="s">
        <v>18</v>
      </c>
      <c r="H226" s="31" t="str">
        <f t="shared" si="7"/>
        <v xml:space="preserve">2 Tahun </v>
      </c>
      <c r="I226" s="8">
        <f t="shared" si="6"/>
        <v>15000000</v>
      </c>
      <c r="J226" s="9">
        <v>5</v>
      </c>
    </row>
    <row r="227" spans="1:10" x14ac:dyDescent="0.25">
      <c r="A227" s="10" t="s">
        <v>468</v>
      </c>
      <c r="B227" s="11" t="s">
        <v>469</v>
      </c>
      <c r="C227" s="11" t="s">
        <v>49</v>
      </c>
      <c r="D227" s="11" t="s">
        <v>21</v>
      </c>
      <c r="E227" s="11" t="s">
        <v>12</v>
      </c>
      <c r="F227" s="11" t="s">
        <v>13</v>
      </c>
      <c r="G227" s="11" t="s">
        <v>18</v>
      </c>
      <c r="H227" s="31" t="str">
        <f t="shared" si="7"/>
        <v>5 Tahun</v>
      </c>
      <c r="I227" s="12">
        <f t="shared" si="6"/>
        <v>20000000</v>
      </c>
      <c r="J227" s="13">
        <v>3</v>
      </c>
    </row>
    <row r="228" spans="1:10" x14ac:dyDescent="0.25">
      <c r="A228" s="6" t="s">
        <v>470</v>
      </c>
      <c r="B228" s="7" t="s">
        <v>471</v>
      </c>
      <c r="C228" s="7" t="s">
        <v>49</v>
      </c>
      <c r="D228" s="7" t="s">
        <v>11</v>
      </c>
      <c r="E228" s="7" t="s">
        <v>12</v>
      </c>
      <c r="F228" s="7" t="s">
        <v>13</v>
      </c>
      <c r="G228" s="7" t="s">
        <v>18</v>
      </c>
      <c r="H228" s="31" t="str">
        <f t="shared" si="7"/>
        <v>5 Tahun</v>
      </c>
      <c r="I228" s="8">
        <f t="shared" si="6"/>
        <v>20000000</v>
      </c>
      <c r="J228" s="9">
        <v>4</v>
      </c>
    </row>
    <row r="229" spans="1:10" x14ac:dyDescent="0.25">
      <c r="A229" s="10" t="s">
        <v>472</v>
      </c>
      <c r="B229" s="11" t="s">
        <v>473</v>
      </c>
      <c r="C229" s="11" t="s">
        <v>10</v>
      </c>
      <c r="D229" s="11" t="s">
        <v>21</v>
      </c>
      <c r="E229" s="11" t="s">
        <v>26</v>
      </c>
      <c r="F229" s="11" t="s">
        <v>22</v>
      </c>
      <c r="G229" s="11" t="s">
        <v>18</v>
      </c>
      <c r="H229" s="31" t="str">
        <f t="shared" si="7"/>
        <v xml:space="preserve">2 Tahun </v>
      </c>
      <c r="I229" s="12">
        <f t="shared" si="6"/>
        <v>15000000</v>
      </c>
      <c r="J229" s="13">
        <v>4</v>
      </c>
    </row>
    <row r="230" spans="1:10" x14ac:dyDescent="0.25">
      <c r="A230" s="6" t="s">
        <v>474</v>
      </c>
      <c r="B230" s="7" t="s">
        <v>475</v>
      </c>
      <c r="C230" s="7" t="s">
        <v>10</v>
      </c>
      <c r="D230" s="7" t="s">
        <v>29</v>
      </c>
      <c r="E230" s="7" t="s">
        <v>40</v>
      </c>
      <c r="F230" s="7" t="s">
        <v>13</v>
      </c>
      <c r="G230" s="7" t="s">
        <v>18</v>
      </c>
      <c r="H230" s="31" t="str">
        <f t="shared" si="7"/>
        <v>1 Tahun</v>
      </c>
      <c r="I230" s="8">
        <f t="shared" si="6"/>
        <v>7000000</v>
      </c>
      <c r="J230" s="9">
        <v>4</v>
      </c>
    </row>
    <row r="231" spans="1:10" x14ac:dyDescent="0.25">
      <c r="A231" s="10" t="s">
        <v>476</v>
      </c>
      <c r="B231" s="11" t="s">
        <v>477</v>
      </c>
      <c r="C231" s="11" t="s">
        <v>10</v>
      </c>
      <c r="D231" s="11" t="s">
        <v>11</v>
      </c>
      <c r="E231" s="11" t="s">
        <v>40</v>
      </c>
      <c r="F231" s="11" t="s">
        <v>22</v>
      </c>
      <c r="G231" s="11" t="s">
        <v>14</v>
      </c>
      <c r="H231" s="31" t="str">
        <f t="shared" si="7"/>
        <v>1 Tahun</v>
      </c>
      <c r="I231" s="12">
        <f t="shared" si="6"/>
        <v>7000000</v>
      </c>
      <c r="J231" s="13">
        <v>4</v>
      </c>
    </row>
    <row r="232" spans="1:10" x14ac:dyDescent="0.25">
      <c r="A232" s="6" t="s">
        <v>478</v>
      </c>
      <c r="B232" s="7" t="s">
        <v>479</v>
      </c>
      <c r="C232" s="7" t="s">
        <v>10</v>
      </c>
      <c r="D232" s="7" t="s">
        <v>11</v>
      </c>
      <c r="E232" s="7" t="s">
        <v>12</v>
      </c>
      <c r="F232" s="7" t="s">
        <v>22</v>
      </c>
      <c r="G232" s="7" t="s">
        <v>18</v>
      </c>
      <c r="H232" s="31" t="str">
        <f t="shared" si="7"/>
        <v>5 Tahun</v>
      </c>
      <c r="I232" s="8">
        <f t="shared" si="6"/>
        <v>20000000</v>
      </c>
      <c r="J232" s="9">
        <v>5</v>
      </c>
    </row>
    <row r="233" spans="1:10" x14ac:dyDescent="0.25">
      <c r="A233" s="10" t="s">
        <v>480</v>
      </c>
      <c r="B233" s="11" t="s">
        <v>481</v>
      </c>
      <c r="C233" s="11" t="s">
        <v>49</v>
      </c>
      <c r="D233" s="11" t="s">
        <v>11</v>
      </c>
      <c r="E233" s="11" t="s">
        <v>12</v>
      </c>
      <c r="F233" s="11" t="s">
        <v>13</v>
      </c>
      <c r="G233" s="11" t="s">
        <v>18</v>
      </c>
      <c r="H233" s="31" t="str">
        <f t="shared" si="7"/>
        <v>5 Tahun</v>
      </c>
      <c r="I233" s="12">
        <f t="shared" si="6"/>
        <v>20000000</v>
      </c>
      <c r="J233" s="13">
        <v>4</v>
      </c>
    </row>
    <row r="234" spans="1:10" x14ac:dyDescent="0.25">
      <c r="A234" s="6" t="s">
        <v>482</v>
      </c>
      <c r="B234" s="7" t="s">
        <v>483</v>
      </c>
      <c r="C234" s="7" t="s">
        <v>49</v>
      </c>
      <c r="D234" s="7" t="s">
        <v>29</v>
      </c>
      <c r="E234" s="7" t="s">
        <v>26</v>
      </c>
      <c r="F234" s="7" t="s">
        <v>13</v>
      </c>
      <c r="G234" s="7" t="s">
        <v>14</v>
      </c>
      <c r="H234" s="31" t="str">
        <f t="shared" si="7"/>
        <v xml:space="preserve">2 Tahun </v>
      </c>
      <c r="I234" s="8">
        <f t="shared" si="6"/>
        <v>15000000</v>
      </c>
      <c r="J234" s="9">
        <v>4</v>
      </c>
    </row>
    <row r="235" spans="1:10" x14ac:dyDescent="0.25">
      <c r="A235" s="10" t="s">
        <v>484</v>
      </c>
      <c r="B235" s="11" t="s">
        <v>485</v>
      </c>
      <c r="C235" s="11" t="s">
        <v>49</v>
      </c>
      <c r="D235" s="11" t="s">
        <v>21</v>
      </c>
      <c r="E235" s="11" t="s">
        <v>26</v>
      </c>
      <c r="F235" s="11" t="s">
        <v>13</v>
      </c>
      <c r="G235" s="11" t="s">
        <v>18</v>
      </c>
      <c r="H235" s="31" t="str">
        <f t="shared" si="7"/>
        <v xml:space="preserve">2 Tahun </v>
      </c>
      <c r="I235" s="12">
        <f t="shared" si="6"/>
        <v>15000000</v>
      </c>
      <c r="J235" s="13">
        <v>4</v>
      </c>
    </row>
    <row r="236" spans="1:10" x14ac:dyDescent="0.25">
      <c r="A236" s="6" t="s">
        <v>486</v>
      </c>
      <c r="B236" s="7" t="s">
        <v>487</v>
      </c>
      <c r="C236" s="7" t="s">
        <v>49</v>
      </c>
      <c r="D236" s="7" t="s">
        <v>17</v>
      </c>
      <c r="E236" s="7" t="s">
        <v>40</v>
      </c>
      <c r="F236" s="7" t="s">
        <v>22</v>
      </c>
      <c r="G236" s="7" t="s">
        <v>14</v>
      </c>
      <c r="H236" s="31" t="str">
        <f t="shared" si="7"/>
        <v>1 Tahun</v>
      </c>
      <c r="I236" s="8">
        <f t="shared" si="6"/>
        <v>7000000</v>
      </c>
      <c r="J236" s="9">
        <v>4</v>
      </c>
    </row>
    <row r="237" spans="1:10" x14ac:dyDescent="0.25">
      <c r="A237" s="10" t="s">
        <v>488</v>
      </c>
      <c r="B237" s="11" t="s">
        <v>489</v>
      </c>
      <c r="C237" s="11" t="s">
        <v>49</v>
      </c>
      <c r="D237" s="11" t="s">
        <v>21</v>
      </c>
      <c r="E237" s="11" t="s">
        <v>12</v>
      </c>
      <c r="F237" s="11" t="s">
        <v>22</v>
      </c>
      <c r="G237" s="11" t="s">
        <v>18</v>
      </c>
      <c r="H237" s="31" t="str">
        <f t="shared" si="7"/>
        <v>5 Tahun</v>
      </c>
      <c r="I237" s="12">
        <f t="shared" si="6"/>
        <v>20000000</v>
      </c>
      <c r="J237" s="13">
        <v>5</v>
      </c>
    </row>
    <row r="238" spans="1:10" x14ac:dyDescent="0.25">
      <c r="A238" s="6" t="s">
        <v>490</v>
      </c>
      <c r="B238" s="7" t="s">
        <v>491</v>
      </c>
      <c r="C238" s="7" t="s">
        <v>49</v>
      </c>
      <c r="D238" s="7" t="s">
        <v>29</v>
      </c>
      <c r="E238" s="7" t="s">
        <v>26</v>
      </c>
      <c r="F238" s="7" t="s">
        <v>13</v>
      </c>
      <c r="G238" s="7" t="s">
        <v>18</v>
      </c>
      <c r="H238" s="31" t="str">
        <f t="shared" si="7"/>
        <v xml:space="preserve">2 Tahun </v>
      </c>
      <c r="I238" s="8">
        <f t="shared" si="6"/>
        <v>15000000</v>
      </c>
      <c r="J238" s="9">
        <v>4</v>
      </c>
    </row>
    <row r="239" spans="1:10" x14ac:dyDescent="0.25">
      <c r="A239" s="10" t="s">
        <v>492</v>
      </c>
      <c r="B239" s="11" t="s">
        <v>493</v>
      </c>
      <c r="C239" s="11" t="s">
        <v>49</v>
      </c>
      <c r="D239" s="11" t="s">
        <v>25</v>
      </c>
      <c r="E239" s="11" t="s">
        <v>26</v>
      </c>
      <c r="F239" s="11" t="s">
        <v>22</v>
      </c>
      <c r="G239" s="11" t="s">
        <v>18</v>
      </c>
      <c r="H239" s="31" t="str">
        <f t="shared" si="7"/>
        <v xml:space="preserve">2 Tahun </v>
      </c>
      <c r="I239" s="12">
        <f t="shared" si="6"/>
        <v>15000000</v>
      </c>
      <c r="J239" s="13">
        <v>4</v>
      </c>
    </row>
    <row r="240" spans="1:10" x14ac:dyDescent="0.25">
      <c r="A240" s="6" t="s">
        <v>494</v>
      </c>
      <c r="B240" s="7" t="s">
        <v>495</v>
      </c>
      <c r="C240" s="7" t="s">
        <v>49</v>
      </c>
      <c r="D240" s="7" t="s">
        <v>21</v>
      </c>
      <c r="E240" s="7" t="s">
        <v>26</v>
      </c>
      <c r="F240" s="7" t="s">
        <v>22</v>
      </c>
      <c r="G240" s="7" t="s">
        <v>18</v>
      </c>
      <c r="H240" s="31" t="str">
        <f t="shared" si="7"/>
        <v xml:space="preserve">2 Tahun </v>
      </c>
      <c r="I240" s="8">
        <f t="shared" si="6"/>
        <v>15000000</v>
      </c>
      <c r="J240" s="9">
        <v>3</v>
      </c>
    </row>
    <row r="241" spans="1:10" x14ac:dyDescent="0.25">
      <c r="A241" s="10" t="s">
        <v>496</v>
      </c>
      <c r="B241" s="11" t="s">
        <v>497</v>
      </c>
      <c r="C241" s="11" t="s">
        <v>49</v>
      </c>
      <c r="D241" s="11" t="s">
        <v>29</v>
      </c>
      <c r="E241" s="11" t="s">
        <v>12</v>
      </c>
      <c r="F241" s="11" t="s">
        <v>13</v>
      </c>
      <c r="G241" s="11" t="s">
        <v>18</v>
      </c>
      <c r="H241" s="31" t="str">
        <f t="shared" si="7"/>
        <v>5 Tahun</v>
      </c>
      <c r="I241" s="12">
        <f t="shared" si="6"/>
        <v>20000000</v>
      </c>
      <c r="J241" s="13">
        <v>3</v>
      </c>
    </row>
    <row r="242" spans="1:10" x14ac:dyDescent="0.25">
      <c r="A242" s="6" t="s">
        <v>498</v>
      </c>
      <c r="B242" s="7" t="s">
        <v>499</v>
      </c>
      <c r="C242" s="7" t="s">
        <v>49</v>
      </c>
      <c r="D242" s="7" t="s">
        <v>29</v>
      </c>
      <c r="E242" s="7" t="s">
        <v>26</v>
      </c>
      <c r="F242" s="7" t="s">
        <v>13</v>
      </c>
      <c r="G242" s="7" t="s">
        <v>14</v>
      </c>
      <c r="H242" s="31" t="str">
        <f t="shared" si="7"/>
        <v xml:space="preserve">2 Tahun </v>
      </c>
      <c r="I242" s="8">
        <f t="shared" si="6"/>
        <v>15000000</v>
      </c>
      <c r="J242" s="9">
        <v>5</v>
      </c>
    </row>
    <row r="243" spans="1:10" x14ac:dyDescent="0.25">
      <c r="A243" s="10" t="s">
        <v>500</v>
      </c>
      <c r="B243" s="11" t="s">
        <v>501</v>
      </c>
      <c r="C243" s="11" t="s">
        <v>49</v>
      </c>
      <c r="D243" s="11" t="s">
        <v>25</v>
      </c>
      <c r="E243" s="11" t="s">
        <v>40</v>
      </c>
      <c r="F243" s="11" t="s">
        <v>22</v>
      </c>
      <c r="G243" s="11" t="s">
        <v>18</v>
      </c>
      <c r="H243" s="31" t="str">
        <f t="shared" si="7"/>
        <v>1 Tahun</v>
      </c>
      <c r="I243" s="12">
        <f t="shared" si="6"/>
        <v>7000000</v>
      </c>
      <c r="J243" s="13">
        <v>5</v>
      </c>
    </row>
    <row r="244" spans="1:10" x14ac:dyDescent="0.25">
      <c r="A244" s="6" t="s">
        <v>502</v>
      </c>
      <c r="B244" s="7" t="s">
        <v>503</v>
      </c>
      <c r="C244" s="7" t="s">
        <v>49</v>
      </c>
      <c r="D244" s="7" t="s">
        <v>17</v>
      </c>
      <c r="E244" s="7" t="s">
        <v>40</v>
      </c>
      <c r="F244" s="7" t="s">
        <v>13</v>
      </c>
      <c r="G244" s="7" t="s">
        <v>18</v>
      </c>
      <c r="H244" s="31" t="str">
        <f t="shared" si="7"/>
        <v>1 Tahun</v>
      </c>
      <c r="I244" s="8">
        <f t="shared" si="6"/>
        <v>7000000</v>
      </c>
      <c r="J244" s="9">
        <v>5</v>
      </c>
    </row>
    <row r="245" spans="1:10" x14ac:dyDescent="0.25">
      <c r="A245" s="10" t="s">
        <v>504</v>
      </c>
      <c r="B245" s="11" t="s">
        <v>505</v>
      </c>
      <c r="C245" s="11" t="s">
        <v>49</v>
      </c>
      <c r="D245" s="11" t="s">
        <v>21</v>
      </c>
      <c r="E245" s="11" t="s">
        <v>26</v>
      </c>
      <c r="F245" s="11" t="s">
        <v>13</v>
      </c>
      <c r="G245" s="11" t="s">
        <v>18</v>
      </c>
      <c r="H245" s="31" t="str">
        <f t="shared" si="7"/>
        <v xml:space="preserve">2 Tahun </v>
      </c>
      <c r="I245" s="12">
        <f t="shared" si="6"/>
        <v>15000000</v>
      </c>
      <c r="J245" s="13">
        <v>4</v>
      </c>
    </row>
    <row r="246" spans="1:10" x14ac:dyDescent="0.25">
      <c r="A246" s="6" t="s">
        <v>506</v>
      </c>
      <c r="B246" s="7" t="s">
        <v>507</v>
      </c>
      <c r="C246" s="7" t="s">
        <v>10</v>
      </c>
      <c r="D246" s="7" t="s">
        <v>29</v>
      </c>
      <c r="E246" s="7" t="s">
        <v>26</v>
      </c>
      <c r="F246" s="7" t="s">
        <v>13</v>
      </c>
      <c r="G246" s="7" t="s">
        <v>18</v>
      </c>
      <c r="H246" s="31" t="str">
        <f t="shared" si="7"/>
        <v xml:space="preserve">2 Tahun </v>
      </c>
      <c r="I246" s="8">
        <f t="shared" si="6"/>
        <v>15000000</v>
      </c>
      <c r="J246" s="9">
        <v>4</v>
      </c>
    </row>
    <row r="247" spans="1:10" x14ac:dyDescent="0.25">
      <c r="A247" s="10" t="s">
        <v>508</v>
      </c>
      <c r="B247" s="11" t="s">
        <v>509</v>
      </c>
      <c r="C247" s="11" t="s">
        <v>49</v>
      </c>
      <c r="D247" s="11" t="s">
        <v>21</v>
      </c>
      <c r="E247" s="11" t="s">
        <v>40</v>
      </c>
      <c r="F247" s="11" t="s">
        <v>22</v>
      </c>
      <c r="G247" s="11" t="s">
        <v>14</v>
      </c>
      <c r="H247" s="31" t="str">
        <f t="shared" si="7"/>
        <v>1 Tahun</v>
      </c>
      <c r="I247" s="12">
        <f t="shared" si="6"/>
        <v>7000000</v>
      </c>
      <c r="J247" s="13">
        <v>4</v>
      </c>
    </row>
    <row r="248" spans="1:10" x14ac:dyDescent="0.25">
      <c r="A248" s="6" t="s">
        <v>510</v>
      </c>
      <c r="B248" s="7" t="s">
        <v>511</v>
      </c>
      <c r="C248" s="7" t="s">
        <v>10</v>
      </c>
      <c r="D248" s="7" t="s">
        <v>17</v>
      </c>
      <c r="E248" s="7" t="s">
        <v>26</v>
      </c>
      <c r="F248" s="7" t="s">
        <v>13</v>
      </c>
      <c r="G248" s="7" t="s">
        <v>18</v>
      </c>
      <c r="H248" s="31" t="str">
        <f t="shared" si="7"/>
        <v xml:space="preserve">2 Tahun </v>
      </c>
      <c r="I248" s="8">
        <f t="shared" si="6"/>
        <v>15000000</v>
      </c>
      <c r="J248" s="9">
        <v>5</v>
      </c>
    </row>
    <row r="249" spans="1:10" x14ac:dyDescent="0.25">
      <c r="A249" s="10" t="s">
        <v>512</v>
      </c>
      <c r="B249" s="11" t="s">
        <v>513</v>
      </c>
      <c r="C249" s="11" t="s">
        <v>10</v>
      </c>
      <c r="D249" s="11" t="s">
        <v>29</v>
      </c>
      <c r="E249" s="11" t="s">
        <v>12</v>
      </c>
      <c r="F249" s="11" t="s">
        <v>22</v>
      </c>
      <c r="G249" s="11" t="s">
        <v>14</v>
      </c>
      <c r="H249" s="31" t="str">
        <f t="shared" si="7"/>
        <v>5 Tahun</v>
      </c>
      <c r="I249" s="12">
        <f t="shared" si="6"/>
        <v>20000000</v>
      </c>
      <c r="J249" s="13">
        <v>3</v>
      </c>
    </row>
    <row r="250" spans="1:10" x14ac:dyDescent="0.25">
      <c r="A250" s="6" t="s">
        <v>514</v>
      </c>
      <c r="B250" s="7" t="s">
        <v>515</v>
      </c>
      <c r="C250" s="7" t="s">
        <v>49</v>
      </c>
      <c r="D250" s="7" t="s">
        <v>17</v>
      </c>
      <c r="E250" s="7" t="s">
        <v>26</v>
      </c>
      <c r="F250" s="7" t="s">
        <v>22</v>
      </c>
      <c r="G250" s="7" t="s">
        <v>18</v>
      </c>
      <c r="H250" s="31" t="str">
        <f t="shared" si="7"/>
        <v xml:space="preserve">2 Tahun </v>
      </c>
      <c r="I250" s="8">
        <f t="shared" si="6"/>
        <v>15000000</v>
      </c>
      <c r="J250" s="9">
        <v>4</v>
      </c>
    </row>
    <row r="251" spans="1:10" x14ac:dyDescent="0.25">
      <c r="A251" s="10" t="s">
        <v>516</v>
      </c>
      <c r="B251" s="11" t="s">
        <v>517</v>
      </c>
      <c r="C251" s="11" t="s">
        <v>49</v>
      </c>
      <c r="D251" s="11" t="s">
        <v>21</v>
      </c>
      <c r="E251" s="11" t="s">
        <v>12</v>
      </c>
      <c r="F251" s="11" t="s">
        <v>13</v>
      </c>
      <c r="G251" s="11" t="s">
        <v>18</v>
      </c>
      <c r="H251" s="31" t="str">
        <f t="shared" si="7"/>
        <v>5 Tahun</v>
      </c>
      <c r="I251" s="12">
        <f t="shared" si="6"/>
        <v>20000000</v>
      </c>
      <c r="J251" s="13">
        <v>3</v>
      </c>
    </row>
    <row r="252" spans="1:10" x14ac:dyDescent="0.25">
      <c r="A252" s="6" t="s">
        <v>518</v>
      </c>
      <c r="B252" s="7" t="s">
        <v>519</v>
      </c>
      <c r="C252" s="7" t="s">
        <v>49</v>
      </c>
      <c r="D252" s="7" t="s">
        <v>29</v>
      </c>
      <c r="E252" s="7" t="s">
        <v>40</v>
      </c>
      <c r="F252" s="7" t="s">
        <v>13</v>
      </c>
      <c r="G252" s="7" t="s">
        <v>14</v>
      </c>
      <c r="H252" s="31" t="str">
        <f t="shared" si="7"/>
        <v>1 Tahun</v>
      </c>
      <c r="I252" s="8">
        <f t="shared" si="6"/>
        <v>7000000</v>
      </c>
      <c r="J252" s="9">
        <v>3</v>
      </c>
    </row>
    <row r="253" spans="1:10" x14ac:dyDescent="0.25">
      <c r="A253" s="10" t="s">
        <v>520</v>
      </c>
      <c r="B253" s="11" t="s">
        <v>521</v>
      </c>
      <c r="C253" s="11" t="s">
        <v>49</v>
      </c>
      <c r="D253" s="11" t="s">
        <v>29</v>
      </c>
      <c r="E253" s="11" t="s">
        <v>12</v>
      </c>
      <c r="F253" s="11" t="s">
        <v>13</v>
      </c>
      <c r="G253" s="11" t="s">
        <v>18</v>
      </c>
      <c r="H253" s="31" t="str">
        <f t="shared" si="7"/>
        <v>5 Tahun</v>
      </c>
      <c r="I253" s="12">
        <f t="shared" si="6"/>
        <v>20000000</v>
      </c>
      <c r="J253" s="13">
        <v>3</v>
      </c>
    </row>
    <row r="254" spans="1:10" x14ac:dyDescent="0.25">
      <c r="A254" s="6" t="s">
        <v>522</v>
      </c>
      <c r="B254" s="7" t="s">
        <v>523</v>
      </c>
      <c r="C254" s="7" t="s">
        <v>49</v>
      </c>
      <c r="D254" s="7" t="s">
        <v>11</v>
      </c>
      <c r="E254" s="7" t="s">
        <v>40</v>
      </c>
      <c r="F254" s="7" t="s">
        <v>13</v>
      </c>
      <c r="G254" s="7" t="s">
        <v>14</v>
      </c>
      <c r="H254" s="31" t="str">
        <f t="shared" si="7"/>
        <v>1 Tahun</v>
      </c>
      <c r="I254" s="8">
        <f t="shared" si="6"/>
        <v>7000000</v>
      </c>
      <c r="J254" s="9">
        <v>3</v>
      </c>
    </row>
    <row r="255" spans="1:10" x14ac:dyDescent="0.25">
      <c r="A255" s="10" t="s">
        <v>524</v>
      </c>
      <c r="B255" s="11" t="s">
        <v>525</v>
      </c>
      <c r="C255" s="11" t="s">
        <v>10</v>
      </c>
      <c r="D255" s="11" t="s">
        <v>21</v>
      </c>
      <c r="E255" s="11" t="s">
        <v>26</v>
      </c>
      <c r="F255" s="11" t="s">
        <v>13</v>
      </c>
      <c r="G255" s="11" t="s">
        <v>18</v>
      </c>
      <c r="H255" s="31" t="str">
        <f t="shared" si="7"/>
        <v xml:space="preserve">2 Tahun </v>
      </c>
      <c r="I255" s="12">
        <f t="shared" si="6"/>
        <v>15000000</v>
      </c>
      <c r="J255" s="13">
        <v>5</v>
      </c>
    </row>
    <row r="256" spans="1:10" x14ac:dyDescent="0.25">
      <c r="A256" s="6" t="s">
        <v>526</v>
      </c>
      <c r="B256" s="7" t="s">
        <v>527</v>
      </c>
      <c r="C256" s="7" t="s">
        <v>49</v>
      </c>
      <c r="D256" s="7" t="s">
        <v>21</v>
      </c>
      <c r="E256" s="7" t="s">
        <v>12</v>
      </c>
      <c r="F256" s="7" t="s">
        <v>13</v>
      </c>
      <c r="G256" s="7" t="s">
        <v>14</v>
      </c>
      <c r="H256" s="31" t="str">
        <f t="shared" si="7"/>
        <v>5 Tahun</v>
      </c>
      <c r="I256" s="8">
        <f t="shared" si="6"/>
        <v>20000000</v>
      </c>
      <c r="J256" s="9">
        <v>3</v>
      </c>
    </row>
    <row r="257" spans="1:10" x14ac:dyDescent="0.25">
      <c r="A257" s="10" t="s">
        <v>528</v>
      </c>
      <c r="B257" s="11" t="s">
        <v>529</v>
      </c>
      <c r="C257" s="11" t="s">
        <v>10</v>
      </c>
      <c r="D257" s="11" t="s">
        <v>21</v>
      </c>
      <c r="E257" s="11" t="s">
        <v>26</v>
      </c>
      <c r="F257" s="11" t="s">
        <v>13</v>
      </c>
      <c r="G257" s="11" t="s">
        <v>18</v>
      </c>
      <c r="H257" s="31" t="str">
        <f t="shared" si="7"/>
        <v xml:space="preserve">2 Tahun </v>
      </c>
      <c r="I257" s="12">
        <f t="shared" si="6"/>
        <v>15000000</v>
      </c>
      <c r="J257" s="13">
        <v>3</v>
      </c>
    </row>
    <row r="258" spans="1:10" x14ac:dyDescent="0.25">
      <c r="A258" s="6" t="s">
        <v>530</v>
      </c>
      <c r="B258" s="7" t="s">
        <v>531</v>
      </c>
      <c r="C258" s="7" t="s">
        <v>10</v>
      </c>
      <c r="D258" s="7" t="s">
        <v>21</v>
      </c>
      <c r="E258" s="7" t="s">
        <v>40</v>
      </c>
      <c r="F258" s="7" t="s">
        <v>22</v>
      </c>
      <c r="G258" s="7" t="s">
        <v>18</v>
      </c>
      <c r="H258" s="31" t="str">
        <f t="shared" si="7"/>
        <v>1 Tahun</v>
      </c>
      <c r="I258" s="8">
        <f t="shared" si="6"/>
        <v>7000000</v>
      </c>
      <c r="J258" s="9">
        <v>5</v>
      </c>
    </row>
    <row r="259" spans="1:10" x14ac:dyDescent="0.25">
      <c r="A259" s="10" t="s">
        <v>532</v>
      </c>
      <c r="B259" s="11" t="s">
        <v>533</v>
      </c>
      <c r="C259" s="11" t="s">
        <v>10</v>
      </c>
      <c r="D259" s="11" t="s">
        <v>29</v>
      </c>
      <c r="E259" s="11" t="s">
        <v>26</v>
      </c>
      <c r="F259" s="11" t="s">
        <v>13</v>
      </c>
      <c r="G259" s="11" t="s">
        <v>18</v>
      </c>
      <c r="H259" s="31" t="str">
        <f t="shared" si="7"/>
        <v xml:space="preserve">2 Tahun </v>
      </c>
      <c r="I259" s="12">
        <f t="shared" si="6"/>
        <v>15000000</v>
      </c>
      <c r="J259" s="13">
        <v>4</v>
      </c>
    </row>
    <row r="260" spans="1:10" x14ac:dyDescent="0.25">
      <c r="A260" s="6" t="s">
        <v>534</v>
      </c>
      <c r="B260" s="7" t="s">
        <v>535</v>
      </c>
      <c r="C260" s="7" t="s">
        <v>49</v>
      </c>
      <c r="D260" s="7" t="s">
        <v>11</v>
      </c>
      <c r="E260" s="7" t="s">
        <v>26</v>
      </c>
      <c r="F260" s="7" t="s">
        <v>13</v>
      </c>
      <c r="G260" s="7" t="s">
        <v>18</v>
      </c>
      <c r="H260" s="31" t="str">
        <f t="shared" si="7"/>
        <v xml:space="preserve">2 Tahun </v>
      </c>
      <c r="I260" s="8">
        <f t="shared" si="6"/>
        <v>15000000</v>
      </c>
      <c r="J260" s="9">
        <v>5</v>
      </c>
    </row>
    <row r="261" spans="1:10" x14ac:dyDescent="0.25">
      <c r="A261" s="10" t="s">
        <v>536</v>
      </c>
      <c r="B261" s="11" t="s">
        <v>537</v>
      </c>
      <c r="C261" s="11" t="s">
        <v>10</v>
      </c>
      <c r="D261" s="11" t="s">
        <v>21</v>
      </c>
      <c r="E261" s="11" t="s">
        <v>26</v>
      </c>
      <c r="F261" s="11" t="s">
        <v>13</v>
      </c>
      <c r="G261" s="11" t="s">
        <v>18</v>
      </c>
      <c r="H261" s="31" t="str">
        <f t="shared" si="7"/>
        <v xml:space="preserve">2 Tahun </v>
      </c>
      <c r="I261" s="12">
        <f t="shared" ref="I261:I324" si="8">IF(E261="Manager",20000000,IF(E261="Senior",15000000,7000000))</f>
        <v>15000000</v>
      </c>
      <c r="J261" s="13">
        <v>5</v>
      </c>
    </row>
    <row r="262" spans="1:10" x14ac:dyDescent="0.25">
      <c r="A262" s="6" t="s">
        <v>538</v>
      </c>
      <c r="B262" s="7" t="s">
        <v>539</v>
      </c>
      <c r="C262" s="7" t="s">
        <v>10</v>
      </c>
      <c r="D262" s="7" t="s">
        <v>11</v>
      </c>
      <c r="E262" s="7" t="s">
        <v>40</v>
      </c>
      <c r="F262" s="7" t="s">
        <v>22</v>
      </c>
      <c r="G262" s="7" t="s">
        <v>18</v>
      </c>
      <c r="H262" s="31" t="str">
        <f t="shared" si="7"/>
        <v>1 Tahun</v>
      </c>
      <c r="I262" s="8">
        <f t="shared" si="8"/>
        <v>7000000</v>
      </c>
      <c r="J262" s="9">
        <v>3</v>
      </c>
    </row>
    <row r="263" spans="1:10" x14ac:dyDescent="0.25">
      <c r="A263" s="10" t="s">
        <v>540</v>
      </c>
      <c r="B263" s="11" t="s">
        <v>541</v>
      </c>
      <c r="C263" s="11" t="s">
        <v>10</v>
      </c>
      <c r="D263" s="11" t="s">
        <v>29</v>
      </c>
      <c r="E263" s="11" t="s">
        <v>26</v>
      </c>
      <c r="F263" s="11" t="s">
        <v>22</v>
      </c>
      <c r="G263" s="11" t="s">
        <v>18</v>
      </c>
      <c r="H263" s="31" t="str">
        <f t="shared" ref="H263:H326" si="9">IF(E263="Manager","5 Tahun",IF(E263="Senior","2 Tahun ","1 Tahun"))</f>
        <v xml:space="preserve">2 Tahun </v>
      </c>
      <c r="I263" s="12">
        <f t="shared" si="8"/>
        <v>15000000</v>
      </c>
      <c r="J263" s="13">
        <v>4</v>
      </c>
    </row>
    <row r="264" spans="1:10" x14ac:dyDescent="0.25">
      <c r="A264" s="6" t="s">
        <v>542</v>
      </c>
      <c r="B264" s="7" t="s">
        <v>543</v>
      </c>
      <c r="C264" s="7" t="s">
        <v>10</v>
      </c>
      <c r="D264" s="7" t="s">
        <v>11</v>
      </c>
      <c r="E264" s="7" t="s">
        <v>26</v>
      </c>
      <c r="F264" s="7" t="s">
        <v>13</v>
      </c>
      <c r="G264" s="7" t="s">
        <v>14</v>
      </c>
      <c r="H264" s="31" t="str">
        <f t="shared" si="9"/>
        <v xml:space="preserve">2 Tahun </v>
      </c>
      <c r="I264" s="8">
        <f t="shared" si="8"/>
        <v>15000000</v>
      </c>
      <c r="J264" s="9">
        <v>4</v>
      </c>
    </row>
    <row r="265" spans="1:10" x14ac:dyDescent="0.25">
      <c r="A265" s="10" t="s">
        <v>544</v>
      </c>
      <c r="B265" s="11" t="s">
        <v>545</v>
      </c>
      <c r="C265" s="11" t="s">
        <v>49</v>
      </c>
      <c r="D265" s="11" t="s">
        <v>25</v>
      </c>
      <c r="E265" s="11" t="s">
        <v>12</v>
      </c>
      <c r="F265" s="11" t="s">
        <v>13</v>
      </c>
      <c r="G265" s="11" t="s">
        <v>14</v>
      </c>
      <c r="H265" s="31" t="str">
        <f t="shared" si="9"/>
        <v>5 Tahun</v>
      </c>
      <c r="I265" s="12">
        <f t="shared" si="8"/>
        <v>20000000</v>
      </c>
      <c r="J265" s="13">
        <v>5</v>
      </c>
    </row>
    <row r="266" spans="1:10" x14ac:dyDescent="0.25">
      <c r="A266" s="6" t="s">
        <v>546</v>
      </c>
      <c r="B266" s="7" t="s">
        <v>547</v>
      </c>
      <c r="C266" s="7" t="s">
        <v>10</v>
      </c>
      <c r="D266" s="7" t="s">
        <v>17</v>
      </c>
      <c r="E266" s="7" t="s">
        <v>26</v>
      </c>
      <c r="F266" s="7" t="s">
        <v>22</v>
      </c>
      <c r="G266" s="7" t="s">
        <v>14</v>
      </c>
      <c r="H266" s="31" t="str">
        <f t="shared" si="9"/>
        <v xml:space="preserve">2 Tahun </v>
      </c>
      <c r="I266" s="8">
        <f t="shared" si="8"/>
        <v>15000000</v>
      </c>
      <c r="J266" s="9">
        <v>3</v>
      </c>
    </row>
    <row r="267" spans="1:10" x14ac:dyDescent="0.25">
      <c r="A267" s="10" t="s">
        <v>548</v>
      </c>
      <c r="B267" s="11" t="s">
        <v>549</v>
      </c>
      <c r="C267" s="11" t="s">
        <v>10</v>
      </c>
      <c r="D267" s="11" t="s">
        <v>11</v>
      </c>
      <c r="E267" s="11" t="s">
        <v>40</v>
      </c>
      <c r="F267" s="11" t="s">
        <v>22</v>
      </c>
      <c r="G267" s="11" t="s">
        <v>14</v>
      </c>
      <c r="H267" s="31" t="str">
        <f t="shared" si="9"/>
        <v>1 Tahun</v>
      </c>
      <c r="I267" s="12">
        <f t="shared" si="8"/>
        <v>7000000</v>
      </c>
      <c r="J267" s="13">
        <v>5</v>
      </c>
    </row>
    <row r="268" spans="1:10" x14ac:dyDescent="0.25">
      <c r="A268" s="6" t="s">
        <v>550</v>
      </c>
      <c r="B268" s="7" t="s">
        <v>551</v>
      </c>
      <c r="C268" s="7" t="s">
        <v>49</v>
      </c>
      <c r="D268" s="7" t="s">
        <v>11</v>
      </c>
      <c r="E268" s="7" t="s">
        <v>12</v>
      </c>
      <c r="F268" s="7" t="s">
        <v>22</v>
      </c>
      <c r="G268" s="7" t="s">
        <v>18</v>
      </c>
      <c r="H268" s="31" t="str">
        <f t="shared" si="9"/>
        <v>5 Tahun</v>
      </c>
      <c r="I268" s="8">
        <f t="shared" si="8"/>
        <v>20000000</v>
      </c>
      <c r="J268" s="9">
        <v>4</v>
      </c>
    </row>
    <row r="269" spans="1:10" x14ac:dyDescent="0.25">
      <c r="A269" s="10" t="s">
        <v>552</v>
      </c>
      <c r="B269" s="11" t="s">
        <v>553</v>
      </c>
      <c r="C269" s="11" t="s">
        <v>49</v>
      </c>
      <c r="D269" s="11" t="s">
        <v>29</v>
      </c>
      <c r="E269" s="11" t="s">
        <v>26</v>
      </c>
      <c r="F269" s="11" t="s">
        <v>13</v>
      </c>
      <c r="G269" s="11" t="s">
        <v>14</v>
      </c>
      <c r="H269" s="31" t="str">
        <f t="shared" si="9"/>
        <v xml:space="preserve">2 Tahun </v>
      </c>
      <c r="I269" s="12">
        <f t="shared" si="8"/>
        <v>15000000</v>
      </c>
      <c r="J269" s="13">
        <v>5</v>
      </c>
    </row>
    <row r="270" spans="1:10" x14ac:dyDescent="0.25">
      <c r="A270" s="6" t="s">
        <v>554</v>
      </c>
      <c r="B270" s="7" t="s">
        <v>555</v>
      </c>
      <c r="C270" s="7" t="s">
        <v>10</v>
      </c>
      <c r="D270" s="7" t="s">
        <v>25</v>
      </c>
      <c r="E270" s="7" t="s">
        <v>12</v>
      </c>
      <c r="F270" s="7" t="s">
        <v>22</v>
      </c>
      <c r="G270" s="7" t="s">
        <v>14</v>
      </c>
      <c r="H270" s="31" t="str">
        <f t="shared" si="9"/>
        <v>5 Tahun</v>
      </c>
      <c r="I270" s="8">
        <f t="shared" si="8"/>
        <v>20000000</v>
      </c>
      <c r="J270" s="9">
        <v>4</v>
      </c>
    </row>
    <row r="271" spans="1:10" x14ac:dyDescent="0.25">
      <c r="A271" s="10" t="s">
        <v>556</v>
      </c>
      <c r="B271" s="11" t="s">
        <v>557</v>
      </c>
      <c r="C271" s="11" t="s">
        <v>10</v>
      </c>
      <c r="D271" s="11" t="s">
        <v>17</v>
      </c>
      <c r="E271" s="11" t="s">
        <v>40</v>
      </c>
      <c r="F271" s="11" t="s">
        <v>22</v>
      </c>
      <c r="G271" s="11" t="s">
        <v>18</v>
      </c>
      <c r="H271" s="31" t="str">
        <f t="shared" si="9"/>
        <v>1 Tahun</v>
      </c>
      <c r="I271" s="12">
        <f t="shared" si="8"/>
        <v>7000000</v>
      </c>
      <c r="J271" s="13">
        <v>5</v>
      </c>
    </row>
    <row r="272" spans="1:10" x14ac:dyDescent="0.25">
      <c r="A272" s="6" t="s">
        <v>558</v>
      </c>
      <c r="B272" s="7" t="s">
        <v>559</v>
      </c>
      <c r="C272" s="7" t="s">
        <v>10</v>
      </c>
      <c r="D272" s="7" t="s">
        <v>29</v>
      </c>
      <c r="E272" s="7" t="s">
        <v>26</v>
      </c>
      <c r="F272" s="7" t="s">
        <v>22</v>
      </c>
      <c r="G272" s="7" t="s">
        <v>18</v>
      </c>
      <c r="H272" s="31" t="str">
        <f t="shared" si="9"/>
        <v xml:space="preserve">2 Tahun </v>
      </c>
      <c r="I272" s="8">
        <f t="shared" si="8"/>
        <v>15000000</v>
      </c>
      <c r="J272" s="9">
        <v>3</v>
      </c>
    </row>
    <row r="273" spans="1:10" x14ac:dyDescent="0.25">
      <c r="A273" s="10" t="s">
        <v>560</v>
      </c>
      <c r="B273" s="11" t="s">
        <v>561</v>
      </c>
      <c r="C273" s="11" t="s">
        <v>10</v>
      </c>
      <c r="D273" s="11" t="s">
        <v>21</v>
      </c>
      <c r="E273" s="11" t="s">
        <v>26</v>
      </c>
      <c r="F273" s="11" t="s">
        <v>22</v>
      </c>
      <c r="G273" s="11" t="s">
        <v>18</v>
      </c>
      <c r="H273" s="31" t="str">
        <f t="shared" si="9"/>
        <v xml:space="preserve">2 Tahun </v>
      </c>
      <c r="I273" s="12">
        <f t="shared" si="8"/>
        <v>15000000</v>
      </c>
      <c r="J273" s="13">
        <v>3</v>
      </c>
    </row>
    <row r="274" spans="1:10" x14ac:dyDescent="0.25">
      <c r="A274" s="6" t="s">
        <v>562</v>
      </c>
      <c r="B274" s="7" t="s">
        <v>563</v>
      </c>
      <c r="C274" s="7" t="s">
        <v>49</v>
      </c>
      <c r="D274" s="7" t="s">
        <v>17</v>
      </c>
      <c r="E274" s="7" t="s">
        <v>40</v>
      </c>
      <c r="F274" s="7" t="s">
        <v>13</v>
      </c>
      <c r="G274" s="7" t="s">
        <v>18</v>
      </c>
      <c r="H274" s="31" t="str">
        <f t="shared" si="9"/>
        <v>1 Tahun</v>
      </c>
      <c r="I274" s="8">
        <f t="shared" si="8"/>
        <v>7000000</v>
      </c>
      <c r="J274" s="9">
        <v>5</v>
      </c>
    </row>
    <row r="275" spans="1:10" x14ac:dyDescent="0.25">
      <c r="A275" s="10" t="s">
        <v>564</v>
      </c>
      <c r="B275" s="11" t="s">
        <v>565</v>
      </c>
      <c r="C275" s="11" t="s">
        <v>49</v>
      </c>
      <c r="D275" s="11" t="s">
        <v>21</v>
      </c>
      <c r="E275" s="11" t="s">
        <v>40</v>
      </c>
      <c r="F275" s="11" t="s">
        <v>22</v>
      </c>
      <c r="G275" s="11" t="s">
        <v>14</v>
      </c>
      <c r="H275" s="31" t="str">
        <f t="shared" si="9"/>
        <v>1 Tahun</v>
      </c>
      <c r="I275" s="12">
        <f t="shared" si="8"/>
        <v>7000000</v>
      </c>
      <c r="J275" s="13">
        <v>5</v>
      </c>
    </row>
    <row r="276" spans="1:10" x14ac:dyDescent="0.25">
      <c r="A276" s="6" t="s">
        <v>566</v>
      </c>
      <c r="B276" s="7" t="s">
        <v>567</v>
      </c>
      <c r="C276" s="7" t="s">
        <v>49</v>
      </c>
      <c r="D276" s="7" t="s">
        <v>29</v>
      </c>
      <c r="E276" s="7" t="s">
        <v>40</v>
      </c>
      <c r="F276" s="7" t="s">
        <v>13</v>
      </c>
      <c r="G276" s="7" t="s">
        <v>14</v>
      </c>
      <c r="H276" s="31" t="str">
        <f t="shared" si="9"/>
        <v>1 Tahun</v>
      </c>
      <c r="I276" s="8">
        <f t="shared" si="8"/>
        <v>7000000</v>
      </c>
      <c r="J276" s="9">
        <v>3</v>
      </c>
    </row>
    <row r="277" spans="1:10" x14ac:dyDescent="0.25">
      <c r="A277" s="10" t="s">
        <v>568</v>
      </c>
      <c r="B277" s="11" t="s">
        <v>569</v>
      </c>
      <c r="C277" s="11" t="s">
        <v>10</v>
      </c>
      <c r="D277" s="11" t="s">
        <v>17</v>
      </c>
      <c r="E277" s="11" t="s">
        <v>26</v>
      </c>
      <c r="F277" s="11" t="s">
        <v>13</v>
      </c>
      <c r="G277" s="11" t="s">
        <v>14</v>
      </c>
      <c r="H277" s="31" t="str">
        <f t="shared" si="9"/>
        <v xml:space="preserve">2 Tahun </v>
      </c>
      <c r="I277" s="12">
        <f t="shared" si="8"/>
        <v>15000000</v>
      </c>
      <c r="J277" s="13">
        <v>5</v>
      </c>
    </row>
    <row r="278" spans="1:10" x14ac:dyDescent="0.25">
      <c r="A278" s="6" t="s">
        <v>570</v>
      </c>
      <c r="B278" s="7" t="s">
        <v>571</v>
      </c>
      <c r="C278" s="7" t="s">
        <v>10</v>
      </c>
      <c r="D278" s="7" t="s">
        <v>21</v>
      </c>
      <c r="E278" s="7" t="s">
        <v>40</v>
      </c>
      <c r="F278" s="7" t="s">
        <v>13</v>
      </c>
      <c r="G278" s="7" t="s">
        <v>14</v>
      </c>
      <c r="H278" s="31" t="str">
        <f t="shared" si="9"/>
        <v>1 Tahun</v>
      </c>
      <c r="I278" s="8">
        <f t="shared" si="8"/>
        <v>7000000</v>
      </c>
      <c r="J278" s="9">
        <v>4</v>
      </c>
    </row>
    <row r="279" spans="1:10" x14ac:dyDescent="0.25">
      <c r="A279" s="10" t="s">
        <v>572</v>
      </c>
      <c r="B279" s="11" t="s">
        <v>573</v>
      </c>
      <c r="C279" s="11" t="s">
        <v>10</v>
      </c>
      <c r="D279" s="11" t="s">
        <v>17</v>
      </c>
      <c r="E279" s="11" t="s">
        <v>40</v>
      </c>
      <c r="F279" s="11" t="s">
        <v>22</v>
      </c>
      <c r="G279" s="11" t="s">
        <v>14</v>
      </c>
      <c r="H279" s="31" t="str">
        <f t="shared" si="9"/>
        <v>1 Tahun</v>
      </c>
      <c r="I279" s="12">
        <f t="shared" si="8"/>
        <v>7000000</v>
      </c>
      <c r="J279" s="13">
        <v>3</v>
      </c>
    </row>
    <row r="280" spans="1:10" x14ac:dyDescent="0.25">
      <c r="A280" s="6" t="s">
        <v>574</v>
      </c>
      <c r="B280" s="7" t="s">
        <v>575</v>
      </c>
      <c r="C280" s="7" t="s">
        <v>10</v>
      </c>
      <c r="D280" s="7" t="s">
        <v>29</v>
      </c>
      <c r="E280" s="7" t="s">
        <v>40</v>
      </c>
      <c r="F280" s="7" t="s">
        <v>22</v>
      </c>
      <c r="G280" s="7" t="s">
        <v>18</v>
      </c>
      <c r="H280" s="31" t="str">
        <f t="shared" si="9"/>
        <v>1 Tahun</v>
      </c>
      <c r="I280" s="8">
        <f t="shared" si="8"/>
        <v>7000000</v>
      </c>
      <c r="J280" s="9">
        <v>5</v>
      </c>
    </row>
    <row r="281" spans="1:10" x14ac:dyDescent="0.25">
      <c r="A281" s="10" t="s">
        <v>576</v>
      </c>
      <c r="B281" s="11" t="s">
        <v>577</v>
      </c>
      <c r="C281" s="11" t="s">
        <v>49</v>
      </c>
      <c r="D281" s="11" t="s">
        <v>11</v>
      </c>
      <c r="E281" s="11" t="s">
        <v>40</v>
      </c>
      <c r="F281" s="11" t="s">
        <v>13</v>
      </c>
      <c r="G281" s="11" t="s">
        <v>18</v>
      </c>
      <c r="H281" s="31" t="str">
        <f t="shared" si="9"/>
        <v>1 Tahun</v>
      </c>
      <c r="I281" s="12">
        <f t="shared" si="8"/>
        <v>7000000</v>
      </c>
      <c r="J281" s="13">
        <v>4</v>
      </c>
    </row>
    <row r="282" spans="1:10" x14ac:dyDescent="0.25">
      <c r="A282" s="6" t="s">
        <v>578</v>
      </c>
      <c r="B282" s="7" t="s">
        <v>579</v>
      </c>
      <c r="C282" s="7" t="s">
        <v>10</v>
      </c>
      <c r="D282" s="7" t="s">
        <v>21</v>
      </c>
      <c r="E282" s="7" t="s">
        <v>40</v>
      </c>
      <c r="F282" s="7" t="s">
        <v>13</v>
      </c>
      <c r="G282" s="7" t="s">
        <v>18</v>
      </c>
      <c r="H282" s="31" t="str">
        <f t="shared" si="9"/>
        <v>1 Tahun</v>
      </c>
      <c r="I282" s="8">
        <f t="shared" si="8"/>
        <v>7000000</v>
      </c>
      <c r="J282" s="9">
        <v>5</v>
      </c>
    </row>
    <row r="283" spans="1:10" x14ac:dyDescent="0.25">
      <c r="A283" s="10" t="s">
        <v>580</v>
      </c>
      <c r="B283" s="11" t="s">
        <v>581</v>
      </c>
      <c r="C283" s="11" t="s">
        <v>10</v>
      </c>
      <c r="D283" s="11" t="s">
        <v>25</v>
      </c>
      <c r="E283" s="11" t="s">
        <v>26</v>
      </c>
      <c r="F283" s="11" t="s">
        <v>13</v>
      </c>
      <c r="G283" s="11" t="s">
        <v>18</v>
      </c>
      <c r="H283" s="31" t="str">
        <f t="shared" si="9"/>
        <v xml:space="preserve">2 Tahun </v>
      </c>
      <c r="I283" s="12">
        <f t="shared" si="8"/>
        <v>15000000</v>
      </c>
      <c r="J283" s="13">
        <v>3</v>
      </c>
    </row>
    <row r="284" spans="1:10" x14ac:dyDescent="0.25">
      <c r="A284" s="6" t="s">
        <v>582</v>
      </c>
      <c r="B284" s="7" t="s">
        <v>583</v>
      </c>
      <c r="C284" s="7" t="s">
        <v>49</v>
      </c>
      <c r="D284" s="7" t="s">
        <v>29</v>
      </c>
      <c r="E284" s="7" t="s">
        <v>26</v>
      </c>
      <c r="F284" s="7" t="s">
        <v>13</v>
      </c>
      <c r="G284" s="7" t="s">
        <v>18</v>
      </c>
      <c r="H284" s="31" t="str">
        <f t="shared" si="9"/>
        <v xml:space="preserve">2 Tahun </v>
      </c>
      <c r="I284" s="8">
        <f t="shared" si="8"/>
        <v>15000000</v>
      </c>
      <c r="J284" s="9">
        <v>5</v>
      </c>
    </row>
    <row r="285" spans="1:10" x14ac:dyDescent="0.25">
      <c r="A285" s="10" t="s">
        <v>584</v>
      </c>
      <c r="B285" s="11" t="s">
        <v>585</v>
      </c>
      <c r="C285" s="11" t="s">
        <v>49</v>
      </c>
      <c r="D285" s="11" t="s">
        <v>11</v>
      </c>
      <c r="E285" s="11" t="s">
        <v>26</v>
      </c>
      <c r="F285" s="11" t="s">
        <v>13</v>
      </c>
      <c r="G285" s="11" t="s">
        <v>18</v>
      </c>
      <c r="H285" s="31" t="str">
        <f t="shared" si="9"/>
        <v xml:space="preserve">2 Tahun </v>
      </c>
      <c r="I285" s="12">
        <f t="shared" si="8"/>
        <v>15000000</v>
      </c>
      <c r="J285" s="13">
        <v>3</v>
      </c>
    </row>
    <row r="286" spans="1:10" x14ac:dyDescent="0.25">
      <c r="A286" s="6" t="s">
        <v>586</v>
      </c>
      <c r="B286" s="7" t="s">
        <v>587</v>
      </c>
      <c r="C286" s="7" t="s">
        <v>49</v>
      </c>
      <c r="D286" s="7" t="s">
        <v>29</v>
      </c>
      <c r="E286" s="7" t="s">
        <v>40</v>
      </c>
      <c r="F286" s="7" t="s">
        <v>22</v>
      </c>
      <c r="G286" s="7" t="s">
        <v>14</v>
      </c>
      <c r="H286" s="31" t="str">
        <f t="shared" si="9"/>
        <v>1 Tahun</v>
      </c>
      <c r="I286" s="8">
        <f t="shared" si="8"/>
        <v>7000000</v>
      </c>
      <c r="J286" s="9">
        <v>5</v>
      </c>
    </row>
    <row r="287" spans="1:10" x14ac:dyDescent="0.25">
      <c r="A287" s="10" t="s">
        <v>588</v>
      </c>
      <c r="B287" s="11" t="s">
        <v>589</v>
      </c>
      <c r="C287" s="11" t="s">
        <v>49</v>
      </c>
      <c r="D287" s="11" t="s">
        <v>11</v>
      </c>
      <c r="E287" s="11" t="s">
        <v>40</v>
      </c>
      <c r="F287" s="11" t="s">
        <v>13</v>
      </c>
      <c r="G287" s="11" t="s">
        <v>18</v>
      </c>
      <c r="H287" s="31" t="str">
        <f t="shared" si="9"/>
        <v>1 Tahun</v>
      </c>
      <c r="I287" s="12">
        <f t="shared" si="8"/>
        <v>7000000</v>
      </c>
      <c r="J287" s="13">
        <v>3</v>
      </c>
    </row>
    <row r="288" spans="1:10" x14ac:dyDescent="0.25">
      <c r="A288" s="6" t="s">
        <v>590</v>
      </c>
      <c r="B288" s="7" t="s">
        <v>591</v>
      </c>
      <c r="C288" s="7" t="s">
        <v>49</v>
      </c>
      <c r="D288" s="7" t="s">
        <v>29</v>
      </c>
      <c r="E288" s="7" t="s">
        <v>12</v>
      </c>
      <c r="F288" s="7" t="s">
        <v>22</v>
      </c>
      <c r="G288" s="7" t="s">
        <v>18</v>
      </c>
      <c r="H288" s="31" t="str">
        <f t="shared" si="9"/>
        <v>5 Tahun</v>
      </c>
      <c r="I288" s="8">
        <f t="shared" si="8"/>
        <v>20000000</v>
      </c>
      <c r="J288" s="9">
        <v>4</v>
      </c>
    </row>
    <row r="289" spans="1:10" x14ac:dyDescent="0.25">
      <c r="A289" s="10" t="s">
        <v>592</v>
      </c>
      <c r="B289" s="11" t="s">
        <v>593</v>
      </c>
      <c r="C289" s="11" t="s">
        <v>10</v>
      </c>
      <c r="D289" s="11" t="s">
        <v>25</v>
      </c>
      <c r="E289" s="11" t="s">
        <v>40</v>
      </c>
      <c r="F289" s="11" t="s">
        <v>22</v>
      </c>
      <c r="G289" s="11" t="s">
        <v>14</v>
      </c>
      <c r="H289" s="31" t="str">
        <f t="shared" si="9"/>
        <v>1 Tahun</v>
      </c>
      <c r="I289" s="12">
        <f t="shared" si="8"/>
        <v>7000000</v>
      </c>
      <c r="J289" s="13">
        <v>3</v>
      </c>
    </row>
    <row r="290" spans="1:10" x14ac:dyDescent="0.25">
      <c r="A290" s="6" t="s">
        <v>594</v>
      </c>
      <c r="B290" s="7" t="s">
        <v>595</v>
      </c>
      <c r="C290" s="7" t="s">
        <v>10</v>
      </c>
      <c r="D290" s="7" t="s">
        <v>25</v>
      </c>
      <c r="E290" s="7" t="s">
        <v>40</v>
      </c>
      <c r="F290" s="7" t="s">
        <v>13</v>
      </c>
      <c r="G290" s="7" t="s">
        <v>18</v>
      </c>
      <c r="H290" s="31" t="str">
        <f t="shared" si="9"/>
        <v>1 Tahun</v>
      </c>
      <c r="I290" s="8">
        <f t="shared" si="8"/>
        <v>7000000</v>
      </c>
      <c r="J290" s="9">
        <v>4</v>
      </c>
    </row>
    <row r="291" spans="1:10" x14ac:dyDescent="0.25">
      <c r="A291" s="10" t="s">
        <v>596</v>
      </c>
      <c r="B291" s="11" t="s">
        <v>597</v>
      </c>
      <c r="C291" s="11" t="s">
        <v>10</v>
      </c>
      <c r="D291" s="11" t="s">
        <v>29</v>
      </c>
      <c r="E291" s="11" t="s">
        <v>12</v>
      </c>
      <c r="F291" s="11" t="s">
        <v>13</v>
      </c>
      <c r="G291" s="11" t="s">
        <v>18</v>
      </c>
      <c r="H291" s="31" t="str">
        <f t="shared" si="9"/>
        <v>5 Tahun</v>
      </c>
      <c r="I291" s="12">
        <f t="shared" si="8"/>
        <v>20000000</v>
      </c>
      <c r="J291" s="13">
        <v>5</v>
      </c>
    </row>
    <row r="292" spans="1:10" x14ac:dyDescent="0.25">
      <c r="A292" s="6" t="s">
        <v>598</v>
      </c>
      <c r="B292" s="7" t="s">
        <v>599</v>
      </c>
      <c r="C292" s="7" t="s">
        <v>49</v>
      </c>
      <c r="D292" s="7" t="s">
        <v>11</v>
      </c>
      <c r="E292" s="7" t="s">
        <v>26</v>
      </c>
      <c r="F292" s="7" t="s">
        <v>13</v>
      </c>
      <c r="G292" s="7" t="s">
        <v>18</v>
      </c>
      <c r="H292" s="31" t="str">
        <f t="shared" si="9"/>
        <v xml:space="preserve">2 Tahun </v>
      </c>
      <c r="I292" s="8">
        <f t="shared" si="8"/>
        <v>15000000</v>
      </c>
      <c r="J292" s="9">
        <v>3</v>
      </c>
    </row>
    <row r="293" spans="1:10" x14ac:dyDescent="0.25">
      <c r="A293" s="10" t="s">
        <v>600</v>
      </c>
      <c r="B293" s="11" t="s">
        <v>601</v>
      </c>
      <c r="C293" s="11" t="s">
        <v>49</v>
      </c>
      <c r="D293" s="11" t="s">
        <v>11</v>
      </c>
      <c r="E293" s="11" t="s">
        <v>12</v>
      </c>
      <c r="F293" s="11" t="s">
        <v>13</v>
      </c>
      <c r="G293" s="11" t="s">
        <v>18</v>
      </c>
      <c r="H293" s="31" t="str">
        <f t="shared" si="9"/>
        <v>5 Tahun</v>
      </c>
      <c r="I293" s="12">
        <f t="shared" si="8"/>
        <v>20000000</v>
      </c>
      <c r="J293" s="13">
        <v>5</v>
      </c>
    </row>
    <row r="294" spans="1:10" x14ac:dyDescent="0.25">
      <c r="A294" s="6" t="s">
        <v>602</v>
      </c>
      <c r="B294" s="7" t="s">
        <v>603</v>
      </c>
      <c r="C294" s="7" t="s">
        <v>10</v>
      </c>
      <c r="D294" s="7" t="s">
        <v>21</v>
      </c>
      <c r="E294" s="7" t="s">
        <v>12</v>
      </c>
      <c r="F294" s="7" t="s">
        <v>13</v>
      </c>
      <c r="G294" s="7" t="s">
        <v>18</v>
      </c>
      <c r="H294" s="31" t="str">
        <f t="shared" si="9"/>
        <v>5 Tahun</v>
      </c>
      <c r="I294" s="8">
        <f t="shared" si="8"/>
        <v>20000000</v>
      </c>
      <c r="J294" s="9">
        <v>4</v>
      </c>
    </row>
    <row r="295" spans="1:10" x14ac:dyDescent="0.25">
      <c r="A295" s="10" t="s">
        <v>604</v>
      </c>
      <c r="B295" s="11" t="s">
        <v>605</v>
      </c>
      <c r="C295" s="11" t="s">
        <v>10</v>
      </c>
      <c r="D295" s="11" t="s">
        <v>29</v>
      </c>
      <c r="E295" s="11" t="s">
        <v>26</v>
      </c>
      <c r="F295" s="11" t="s">
        <v>22</v>
      </c>
      <c r="G295" s="11" t="s">
        <v>18</v>
      </c>
      <c r="H295" s="31" t="str">
        <f t="shared" si="9"/>
        <v xml:space="preserve">2 Tahun </v>
      </c>
      <c r="I295" s="12">
        <f t="shared" si="8"/>
        <v>15000000</v>
      </c>
      <c r="J295" s="13">
        <v>4</v>
      </c>
    </row>
    <row r="296" spans="1:10" x14ac:dyDescent="0.25">
      <c r="A296" s="6" t="s">
        <v>606</v>
      </c>
      <c r="B296" s="7" t="s">
        <v>607</v>
      </c>
      <c r="C296" s="7" t="s">
        <v>10</v>
      </c>
      <c r="D296" s="7" t="s">
        <v>21</v>
      </c>
      <c r="E296" s="7" t="s">
        <v>12</v>
      </c>
      <c r="F296" s="7" t="s">
        <v>13</v>
      </c>
      <c r="G296" s="7" t="s">
        <v>14</v>
      </c>
      <c r="H296" s="31" t="str">
        <f t="shared" si="9"/>
        <v>5 Tahun</v>
      </c>
      <c r="I296" s="8">
        <f t="shared" si="8"/>
        <v>20000000</v>
      </c>
      <c r="J296" s="9">
        <v>3</v>
      </c>
    </row>
    <row r="297" spans="1:10" x14ac:dyDescent="0.25">
      <c r="A297" s="10" t="s">
        <v>608</v>
      </c>
      <c r="B297" s="11" t="s">
        <v>609</v>
      </c>
      <c r="C297" s="11" t="s">
        <v>10</v>
      </c>
      <c r="D297" s="11" t="s">
        <v>11</v>
      </c>
      <c r="E297" s="11" t="s">
        <v>12</v>
      </c>
      <c r="F297" s="11" t="s">
        <v>22</v>
      </c>
      <c r="G297" s="11" t="s">
        <v>18</v>
      </c>
      <c r="H297" s="31" t="str">
        <f t="shared" si="9"/>
        <v>5 Tahun</v>
      </c>
      <c r="I297" s="12">
        <f t="shared" si="8"/>
        <v>20000000</v>
      </c>
      <c r="J297" s="13">
        <v>4</v>
      </c>
    </row>
    <row r="298" spans="1:10" x14ac:dyDescent="0.25">
      <c r="A298" s="6" t="s">
        <v>610</v>
      </c>
      <c r="B298" s="7" t="s">
        <v>611</v>
      </c>
      <c r="C298" s="7" t="s">
        <v>10</v>
      </c>
      <c r="D298" s="7" t="s">
        <v>25</v>
      </c>
      <c r="E298" s="7" t="s">
        <v>40</v>
      </c>
      <c r="F298" s="7" t="s">
        <v>22</v>
      </c>
      <c r="G298" s="7" t="s">
        <v>18</v>
      </c>
      <c r="H298" s="31" t="str">
        <f t="shared" si="9"/>
        <v>1 Tahun</v>
      </c>
      <c r="I298" s="8">
        <f t="shared" si="8"/>
        <v>7000000</v>
      </c>
      <c r="J298" s="9">
        <v>5</v>
      </c>
    </row>
    <row r="299" spans="1:10" x14ac:dyDescent="0.25">
      <c r="A299" s="10" t="s">
        <v>612</v>
      </c>
      <c r="B299" s="11" t="s">
        <v>613</v>
      </c>
      <c r="C299" s="11" t="s">
        <v>10</v>
      </c>
      <c r="D299" s="11" t="s">
        <v>25</v>
      </c>
      <c r="E299" s="11" t="s">
        <v>12</v>
      </c>
      <c r="F299" s="11" t="s">
        <v>22</v>
      </c>
      <c r="G299" s="11" t="s">
        <v>14</v>
      </c>
      <c r="H299" s="31" t="str">
        <f t="shared" si="9"/>
        <v>5 Tahun</v>
      </c>
      <c r="I299" s="12">
        <f t="shared" si="8"/>
        <v>20000000</v>
      </c>
      <c r="J299" s="13">
        <v>4</v>
      </c>
    </row>
    <row r="300" spans="1:10" x14ac:dyDescent="0.25">
      <c r="A300" s="6" t="s">
        <v>614</v>
      </c>
      <c r="B300" s="7" t="s">
        <v>615</v>
      </c>
      <c r="C300" s="7" t="s">
        <v>10</v>
      </c>
      <c r="D300" s="7" t="s">
        <v>25</v>
      </c>
      <c r="E300" s="7" t="s">
        <v>12</v>
      </c>
      <c r="F300" s="7" t="s">
        <v>22</v>
      </c>
      <c r="G300" s="7" t="s">
        <v>18</v>
      </c>
      <c r="H300" s="31" t="str">
        <f t="shared" si="9"/>
        <v>5 Tahun</v>
      </c>
      <c r="I300" s="8">
        <f t="shared" si="8"/>
        <v>20000000</v>
      </c>
      <c r="J300" s="9">
        <v>3</v>
      </c>
    </row>
    <row r="301" spans="1:10" x14ac:dyDescent="0.25">
      <c r="A301" s="10" t="s">
        <v>616</v>
      </c>
      <c r="B301" s="11" t="s">
        <v>617</v>
      </c>
      <c r="C301" s="11" t="s">
        <v>49</v>
      </c>
      <c r="D301" s="11" t="s">
        <v>29</v>
      </c>
      <c r="E301" s="11" t="s">
        <v>12</v>
      </c>
      <c r="F301" s="11" t="s">
        <v>13</v>
      </c>
      <c r="G301" s="11" t="s">
        <v>14</v>
      </c>
      <c r="H301" s="31" t="str">
        <f t="shared" si="9"/>
        <v>5 Tahun</v>
      </c>
      <c r="I301" s="12">
        <f t="shared" si="8"/>
        <v>20000000</v>
      </c>
      <c r="J301" s="13">
        <v>5</v>
      </c>
    </row>
    <row r="302" spans="1:10" x14ac:dyDescent="0.25">
      <c r="A302" s="6" t="s">
        <v>618</v>
      </c>
      <c r="B302" s="7" t="s">
        <v>619</v>
      </c>
      <c r="C302" s="7" t="s">
        <v>49</v>
      </c>
      <c r="D302" s="7" t="s">
        <v>29</v>
      </c>
      <c r="E302" s="7" t="s">
        <v>12</v>
      </c>
      <c r="F302" s="7" t="s">
        <v>13</v>
      </c>
      <c r="G302" s="7" t="s">
        <v>14</v>
      </c>
      <c r="H302" s="31" t="str">
        <f t="shared" si="9"/>
        <v>5 Tahun</v>
      </c>
      <c r="I302" s="8">
        <f t="shared" si="8"/>
        <v>20000000</v>
      </c>
      <c r="J302" s="9">
        <v>4</v>
      </c>
    </row>
    <row r="303" spans="1:10" x14ac:dyDescent="0.25">
      <c r="A303" s="10" t="s">
        <v>620</v>
      </c>
      <c r="B303" s="11" t="s">
        <v>421</v>
      </c>
      <c r="C303" s="11" t="s">
        <v>49</v>
      </c>
      <c r="D303" s="11" t="s">
        <v>21</v>
      </c>
      <c r="E303" s="11" t="s">
        <v>40</v>
      </c>
      <c r="F303" s="11" t="s">
        <v>13</v>
      </c>
      <c r="G303" s="11" t="s">
        <v>14</v>
      </c>
      <c r="H303" s="31" t="str">
        <f t="shared" si="9"/>
        <v>1 Tahun</v>
      </c>
      <c r="I303" s="12">
        <f t="shared" si="8"/>
        <v>7000000</v>
      </c>
      <c r="J303" s="13">
        <v>5</v>
      </c>
    </row>
    <row r="304" spans="1:10" x14ac:dyDescent="0.25">
      <c r="A304" s="6" t="s">
        <v>621</v>
      </c>
      <c r="B304" s="7" t="s">
        <v>622</v>
      </c>
      <c r="C304" s="7" t="s">
        <v>10</v>
      </c>
      <c r="D304" s="7" t="s">
        <v>21</v>
      </c>
      <c r="E304" s="7" t="s">
        <v>26</v>
      </c>
      <c r="F304" s="7" t="s">
        <v>13</v>
      </c>
      <c r="G304" s="7" t="s">
        <v>14</v>
      </c>
      <c r="H304" s="31" t="str">
        <f t="shared" si="9"/>
        <v xml:space="preserve">2 Tahun </v>
      </c>
      <c r="I304" s="8">
        <f t="shared" si="8"/>
        <v>15000000</v>
      </c>
      <c r="J304" s="9">
        <v>4</v>
      </c>
    </row>
    <row r="305" spans="1:10" x14ac:dyDescent="0.25">
      <c r="A305" s="10" t="s">
        <v>623</v>
      </c>
      <c r="B305" s="11" t="s">
        <v>624</v>
      </c>
      <c r="C305" s="11" t="s">
        <v>10</v>
      </c>
      <c r="D305" s="11" t="s">
        <v>17</v>
      </c>
      <c r="E305" s="11" t="s">
        <v>26</v>
      </c>
      <c r="F305" s="11" t="s">
        <v>13</v>
      </c>
      <c r="G305" s="11" t="s">
        <v>18</v>
      </c>
      <c r="H305" s="31" t="str">
        <f t="shared" si="9"/>
        <v xml:space="preserve">2 Tahun </v>
      </c>
      <c r="I305" s="12">
        <f t="shared" si="8"/>
        <v>15000000</v>
      </c>
      <c r="J305" s="13">
        <v>4</v>
      </c>
    </row>
    <row r="306" spans="1:10" x14ac:dyDescent="0.25">
      <c r="A306" s="6" t="s">
        <v>625</v>
      </c>
      <c r="B306" s="7" t="s">
        <v>626</v>
      </c>
      <c r="C306" s="7" t="s">
        <v>10</v>
      </c>
      <c r="D306" s="7" t="s">
        <v>21</v>
      </c>
      <c r="E306" s="7" t="s">
        <v>26</v>
      </c>
      <c r="F306" s="7" t="s">
        <v>22</v>
      </c>
      <c r="G306" s="7" t="s">
        <v>18</v>
      </c>
      <c r="H306" s="31" t="str">
        <f t="shared" si="9"/>
        <v xml:space="preserve">2 Tahun </v>
      </c>
      <c r="I306" s="8">
        <f t="shared" si="8"/>
        <v>15000000</v>
      </c>
      <c r="J306" s="9">
        <v>5</v>
      </c>
    </row>
    <row r="307" spans="1:10" x14ac:dyDescent="0.25">
      <c r="A307" s="10" t="s">
        <v>627</v>
      </c>
      <c r="B307" s="11" t="s">
        <v>628</v>
      </c>
      <c r="C307" s="11" t="s">
        <v>10</v>
      </c>
      <c r="D307" s="11" t="s">
        <v>25</v>
      </c>
      <c r="E307" s="11" t="s">
        <v>40</v>
      </c>
      <c r="F307" s="11" t="s">
        <v>22</v>
      </c>
      <c r="G307" s="11" t="s">
        <v>14</v>
      </c>
      <c r="H307" s="31" t="str">
        <f t="shared" si="9"/>
        <v>1 Tahun</v>
      </c>
      <c r="I307" s="12">
        <f t="shared" si="8"/>
        <v>7000000</v>
      </c>
      <c r="J307" s="13">
        <v>4</v>
      </c>
    </row>
    <row r="308" spans="1:10" x14ac:dyDescent="0.25">
      <c r="A308" s="6" t="s">
        <v>629</v>
      </c>
      <c r="B308" s="7" t="s">
        <v>630</v>
      </c>
      <c r="C308" s="7" t="s">
        <v>10</v>
      </c>
      <c r="D308" s="7" t="s">
        <v>17</v>
      </c>
      <c r="E308" s="7" t="s">
        <v>26</v>
      </c>
      <c r="F308" s="7" t="s">
        <v>13</v>
      </c>
      <c r="G308" s="7" t="s">
        <v>14</v>
      </c>
      <c r="H308" s="31" t="str">
        <f t="shared" si="9"/>
        <v xml:space="preserve">2 Tahun </v>
      </c>
      <c r="I308" s="8">
        <f t="shared" si="8"/>
        <v>15000000</v>
      </c>
      <c r="J308" s="9">
        <v>5</v>
      </c>
    </row>
    <row r="309" spans="1:10" x14ac:dyDescent="0.25">
      <c r="A309" s="10" t="s">
        <v>631</v>
      </c>
      <c r="B309" s="11" t="s">
        <v>632</v>
      </c>
      <c r="C309" s="11" t="s">
        <v>10</v>
      </c>
      <c r="D309" s="11" t="s">
        <v>21</v>
      </c>
      <c r="E309" s="11" t="s">
        <v>12</v>
      </c>
      <c r="F309" s="11" t="s">
        <v>13</v>
      </c>
      <c r="G309" s="11" t="s">
        <v>14</v>
      </c>
      <c r="H309" s="31" t="str">
        <f t="shared" si="9"/>
        <v>5 Tahun</v>
      </c>
      <c r="I309" s="12">
        <f t="shared" si="8"/>
        <v>20000000</v>
      </c>
      <c r="J309" s="13">
        <v>4</v>
      </c>
    </row>
    <row r="310" spans="1:10" x14ac:dyDescent="0.25">
      <c r="A310" s="6" t="s">
        <v>633</v>
      </c>
      <c r="B310" s="7" t="s">
        <v>634</v>
      </c>
      <c r="C310" s="7" t="s">
        <v>10</v>
      </c>
      <c r="D310" s="7" t="s">
        <v>11</v>
      </c>
      <c r="E310" s="7" t="s">
        <v>26</v>
      </c>
      <c r="F310" s="7" t="s">
        <v>13</v>
      </c>
      <c r="G310" s="7" t="s">
        <v>14</v>
      </c>
      <c r="H310" s="31" t="str">
        <f t="shared" si="9"/>
        <v xml:space="preserve">2 Tahun </v>
      </c>
      <c r="I310" s="8">
        <f t="shared" si="8"/>
        <v>15000000</v>
      </c>
      <c r="J310" s="9">
        <v>5</v>
      </c>
    </row>
    <row r="311" spans="1:10" x14ac:dyDescent="0.25">
      <c r="A311" s="10" t="s">
        <v>635</v>
      </c>
      <c r="B311" s="11" t="s">
        <v>636</v>
      </c>
      <c r="C311" s="11" t="s">
        <v>10</v>
      </c>
      <c r="D311" s="11" t="s">
        <v>29</v>
      </c>
      <c r="E311" s="11" t="s">
        <v>12</v>
      </c>
      <c r="F311" s="11" t="s">
        <v>22</v>
      </c>
      <c r="G311" s="11" t="s">
        <v>18</v>
      </c>
      <c r="H311" s="31" t="str">
        <f t="shared" si="9"/>
        <v>5 Tahun</v>
      </c>
      <c r="I311" s="12">
        <f t="shared" si="8"/>
        <v>20000000</v>
      </c>
      <c r="J311" s="13">
        <v>4</v>
      </c>
    </row>
    <row r="312" spans="1:10" x14ac:dyDescent="0.25">
      <c r="A312" s="6" t="s">
        <v>637</v>
      </c>
      <c r="B312" s="7" t="s">
        <v>638</v>
      </c>
      <c r="C312" s="7" t="s">
        <v>10</v>
      </c>
      <c r="D312" s="7" t="s">
        <v>29</v>
      </c>
      <c r="E312" s="7" t="s">
        <v>12</v>
      </c>
      <c r="F312" s="7" t="s">
        <v>13</v>
      </c>
      <c r="G312" s="7" t="s">
        <v>14</v>
      </c>
      <c r="H312" s="31" t="str">
        <f t="shared" si="9"/>
        <v>5 Tahun</v>
      </c>
      <c r="I312" s="8">
        <f t="shared" si="8"/>
        <v>20000000</v>
      </c>
      <c r="J312" s="9">
        <v>3</v>
      </c>
    </row>
    <row r="313" spans="1:10" x14ac:dyDescent="0.25">
      <c r="A313" s="10" t="s">
        <v>639</v>
      </c>
      <c r="B313" s="11" t="s">
        <v>640</v>
      </c>
      <c r="C313" s="11" t="s">
        <v>10</v>
      </c>
      <c r="D313" s="11" t="s">
        <v>17</v>
      </c>
      <c r="E313" s="11" t="s">
        <v>12</v>
      </c>
      <c r="F313" s="11" t="s">
        <v>13</v>
      </c>
      <c r="G313" s="11" t="s">
        <v>18</v>
      </c>
      <c r="H313" s="31" t="str">
        <f t="shared" si="9"/>
        <v>5 Tahun</v>
      </c>
      <c r="I313" s="12">
        <f t="shared" si="8"/>
        <v>20000000</v>
      </c>
      <c r="J313" s="13">
        <v>5</v>
      </c>
    </row>
    <row r="314" spans="1:10" x14ac:dyDescent="0.25">
      <c r="A314" s="6" t="s">
        <v>641</v>
      </c>
      <c r="B314" s="7" t="s">
        <v>642</v>
      </c>
      <c r="C314" s="7" t="s">
        <v>10</v>
      </c>
      <c r="D314" s="7" t="s">
        <v>21</v>
      </c>
      <c r="E314" s="7" t="s">
        <v>40</v>
      </c>
      <c r="F314" s="7" t="s">
        <v>13</v>
      </c>
      <c r="G314" s="7" t="s">
        <v>18</v>
      </c>
      <c r="H314" s="31" t="str">
        <f t="shared" si="9"/>
        <v>1 Tahun</v>
      </c>
      <c r="I314" s="8">
        <f t="shared" si="8"/>
        <v>7000000</v>
      </c>
      <c r="J314" s="9">
        <v>3</v>
      </c>
    </row>
    <row r="315" spans="1:10" x14ac:dyDescent="0.25">
      <c r="A315" s="10" t="s">
        <v>643</v>
      </c>
      <c r="B315" s="11" t="s">
        <v>644</v>
      </c>
      <c r="C315" s="11" t="s">
        <v>10</v>
      </c>
      <c r="D315" s="11" t="s">
        <v>21</v>
      </c>
      <c r="E315" s="11" t="s">
        <v>26</v>
      </c>
      <c r="F315" s="11" t="s">
        <v>13</v>
      </c>
      <c r="G315" s="11" t="s">
        <v>14</v>
      </c>
      <c r="H315" s="31" t="str">
        <f t="shared" si="9"/>
        <v xml:space="preserve">2 Tahun </v>
      </c>
      <c r="I315" s="12">
        <f t="shared" si="8"/>
        <v>15000000</v>
      </c>
      <c r="J315" s="13">
        <v>5</v>
      </c>
    </row>
    <row r="316" spans="1:10" x14ac:dyDescent="0.25">
      <c r="A316" s="6" t="s">
        <v>645</v>
      </c>
      <c r="B316" s="7" t="s">
        <v>646</v>
      </c>
      <c r="C316" s="7" t="s">
        <v>49</v>
      </c>
      <c r="D316" s="7" t="s">
        <v>17</v>
      </c>
      <c r="E316" s="7" t="s">
        <v>40</v>
      </c>
      <c r="F316" s="7" t="s">
        <v>13</v>
      </c>
      <c r="G316" s="7" t="s">
        <v>14</v>
      </c>
      <c r="H316" s="31" t="str">
        <f t="shared" si="9"/>
        <v>1 Tahun</v>
      </c>
      <c r="I316" s="8">
        <f t="shared" si="8"/>
        <v>7000000</v>
      </c>
      <c r="J316" s="9">
        <v>4</v>
      </c>
    </row>
    <row r="317" spans="1:10" x14ac:dyDescent="0.25">
      <c r="A317" s="10" t="s">
        <v>647</v>
      </c>
      <c r="B317" s="11" t="s">
        <v>648</v>
      </c>
      <c r="C317" s="11" t="s">
        <v>10</v>
      </c>
      <c r="D317" s="11" t="s">
        <v>17</v>
      </c>
      <c r="E317" s="11" t="s">
        <v>40</v>
      </c>
      <c r="F317" s="11" t="s">
        <v>13</v>
      </c>
      <c r="G317" s="11" t="s">
        <v>18</v>
      </c>
      <c r="H317" s="31" t="str">
        <f t="shared" si="9"/>
        <v>1 Tahun</v>
      </c>
      <c r="I317" s="12">
        <f t="shared" si="8"/>
        <v>7000000</v>
      </c>
      <c r="J317" s="13">
        <v>3</v>
      </c>
    </row>
    <row r="318" spans="1:10" x14ac:dyDescent="0.25">
      <c r="A318" s="6" t="s">
        <v>649</v>
      </c>
      <c r="B318" s="7" t="s">
        <v>650</v>
      </c>
      <c r="C318" s="7" t="s">
        <v>10</v>
      </c>
      <c r="D318" s="7" t="s">
        <v>11</v>
      </c>
      <c r="E318" s="7" t="s">
        <v>26</v>
      </c>
      <c r="F318" s="7" t="s">
        <v>22</v>
      </c>
      <c r="G318" s="7" t="s">
        <v>18</v>
      </c>
      <c r="H318" s="31" t="str">
        <f t="shared" si="9"/>
        <v xml:space="preserve">2 Tahun </v>
      </c>
      <c r="I318" s="8">
        <f t="shared" si="8"/>
        <v>15000000</v>
      </c>
      <c r="J318" s="9">
        <v>4</v>
      </c>
    </row>
    <row r="319" spans="1:10" x14ac:dyDescent="0.25">
      <c r="A319" s="10" t="s">
        <v>651</v>
      </c>
      <c r="B319" s="11" t="s">
        <v>652</v>
      </c>
      <c r="C319" s="11" t="s">
        <v>10</v>
      </c>
      <c r="D319" s="11" t="s">
        <v>17</v>
      </c>
      <c r="E319" s="11" t="s">
        <v>26</v>
      </c>
      <c r="F319" s="11" t="s">
        <v>13</v>
      </c>
      <c r="G319" s="11" t="s">
        <v>14</v>
      </c>
      <c r="H319" s="31" t="str">
        <f t="shared" si="9"/>
        <v xml:space="preserve">2 Tahun </v>
      </c>
      <c r="I319" s="12">
        <f t="shared" si="8"/>
        <v>15000000</v>
      </c>
      <c r="J319" s="13">
        <v>5</v>
      </c>
    </row>
    <row r="320" spans="1:10" x14ac:dyDescent="0.25">
      <c r="A320" s="6" t="s">
        <v>653</v>
      </c>
      <c r="B320" s="7" t="s">
        <v>654</v>
      </c>
      <c r="C320" s="7" t="s">
        <v>10</v>
      </c>
      <c r="D320" s="7" t="s">
        <v>21</v>
      </c>
      <c r="E320" s="7" t="s">
        <v>40</v>
      </c>
      <c r="F320" s="7" t="s">
        <v>13</v>
      </c>
      <c r="G320" s="7" t="s">
        <v>14</v>
      </c>
      <c r="H320" s="31" t="str">
        <f t="shared" si="9"/>
        <v>1 Tahun</v>
      </c>
      <c r="I320" s="8">
        <f t="shared" si="8"/>
        <v>7000000</v>
      </c>
      <c r="J320" s="9">
        <v>4</v>
      </c>
    </row>
    <row r="321" spans="1:10" x14ac:dyDescent="0.25">
      <c r="A321" s="10" t="s">
        <v>655</v>
      </c>
      <c r="B321" s="11" t="s">
        <v>656</v>
      </c>
      <c r="C321" s="11" t="s">
        <v>10</v>
      </c>
      <c r="D321" s="11" t="s">
        <v>21</v>
      </c>
      <c r="E321" s="11" t="s">
        <v>26</v>
      </c>
      <c r="F321" s="11" t="s">
        <v>22</v>
      </c>
      <c r="G321" s="11" t="s">
        <v>14</v>
      </c>
      <c r="H321" s="31" t="str">
        <f t="shared" si="9"/>
        <v xml:space="preserve">2 Tahun </v>
      </c>
      <c r="I321" s="12">
        <f t="shared" si="8"/>
        <v>15000000</v>
      </c>
      <c r="J321" s="13">
        <v>5</v>
      </c>
    </row>
    <row r="322" spans="1:10" x14ac:dyDescent="0.25">
      <c r="A322" s="6" t="s">
        <v>657</v>
      </c>
      <c r="B322" s="7" t="s">
        <v>658</v>
      </c>
      <c r="C322" s="7" t="s">
        <v>10</v>
      </c>
      <c r="D322" s="7" t="s">
        <v>29</v>
      </c>
      <c r="E322" s="7" t="s">
        <v>40</v>
      </c>
      <c r="F322" s="7" t="s">
        <v>22</v>
      </c>
      <c r="G322" s="7" t="s">
        <v>14</v>
      </c>
      <c r="H322" s="31" t="str">
        <f t="shared" si="9"/>
        <v>1 Tahun</v>
      </c>
      <c r="I322" s="8">
        <f t="shared" si="8"/>
        <v>7000000</v>
      </c>
      <c r="J322" s="9">
        <v>3</v>
      </c>
    </row>
    <row r="323" spans="1:10" x14ac:dyDescent="0.25">
      <c r="A323" s="10" t="s">
        <v>659</v>
      </c>
      <c r="B323" s="11" t="s">
        <v>660</v>
      </c>
      <c r="C323" s="11" t="s">
        <v>10</v>
      </c>
      <c r="D323" s="11" t="s">
        <v>17</v>
      </c>
      <c r="E323" s="11" t="s">
        <v>12</v>
      </c>
      <c r="F323" s="11" t="s">
        <v>13</v>
      </c>
      <c r="G323" s="11" t="s">
        <v>18</v>
      </c>
      <c r="H323" s="31" t="str">
        <f t="shared" si="9"/>
        <v>5 Tahun</v>
      </c>
      <c r="I323" s="12">
        <f t="shared" si="8"/>
        <v>20000000</v>
      </c>
      <c r="J323" s="13">
        <v>3</v>
      </c>
    </row>
    <row r="324" spans="1:10" x14ac:dyDescent="0.25">
      <c r="A324" s="6" t="s">
        <v>661</v>
      </c>
      <c r="B324" s="7" t="s">
        <v>662</v>
      </c>
      <c r="C324" s="7" t="s">
        <v>49</v>
      </c>
      <c r="D324" s="7" t="s">
        <v>21</v>
      </c>
      <c r="E324" s="7" t="s">
        <v>26</v>
      </c>
      <c r="F324" s="7" t="s">
        <v>13</v>
      </c>
      <c r="G324" s="7" t="s">
        <v>14</v>
      </c>
      <c r="H324" s="31" t="str">
        <f t="shared" si="9"/>
        <v xml:space="preserve">2 Tahun </v>
      </c>
      <c r="I324" s="8">
        <f t="shared" si="8"/>
        <v>15000000</v>
      </c>
      <c r="J324" s="9">
        <v>3</v>
      </c>
    </row>
    <row r="325" spans="1:10" x14ac:dyDescent="0.25">
      <c r="A325" s="10" t="s">
        <v>663</v>
      </c>
      <c r="B325" s="11" t="s">
        <v>664</v>
      </c>
      <c r="C325" s="11" t="s">
        <v>10</v>
      </c>
      <c r="D325" s="11" t="s">
        <v>17</v>
      </c>
      <c r="E325" s="11" t="s">
        <v>26</v>
      </c>
      <c r="F325" s="11" t="s">
        <v>13</v>
      </c>
      <c r="G325" s="11" t="s">
        <v>18</v>
      </c>
      <c r="H325" s="31" t="str">
        <f t="shared" si="9"/>
        <v xml:space="preserve">2 Tahun </v>
      </c>
      <c r="I325" s="12">
        <f t="shared" ref="I325:I388" si="10">IF(E325="Manager",20000000,IF(E325="Senior",15000000,7000000))</f>
        <v>15000000</v>
      </c>
      <c r="J325" s="13">
        <v>5</v>
      </c>
    </row>
    <row r="326" spans="1:10" x14ac:dyDescent="0.25">
      <c r="A326" s="6" t="s">
        <v>665</v>
      </c>
      <c r="B326" s="7" t="s">
        <v>666</v>
      </c>
      <c r="C326" s="7" t="s">
        <v>49</v>
      </c>
      <c r="D326" s="7" t="s">
        <v>17</v>
      </c>
      <c r="E326" s="7" t="s">
        <v>12</v>
      </c>
      <c r="F326" s="7" t="s">
        <v>22</v>
      </c>
      <c r="G326" s="7" t="s">
        <v>14</v>
      </c>
      <c r="H326" s="31" t="str">
        <f t="shared" si="9"/>
        <v>5 Tahun</v>
      </c>
      <c r="I326" s="8">
        <f t="shared" si="10"/>
        <v>20000000</v>
      </c>
      <c r="J326" s="9">
        <v>3</v>
      </c>
    </row>
    <row r="327" spans="1:10" x14ac:dyDescent="0.25">
      <c r="A327" s="10" t="s">
        <v>667</v>
      </c>
      <c r="B327" s="11" t="s">
        <v>668</v>
      </c>
      <c r="C327" s="11" t="s">
        <v>49</v>
      </c>
      <c r="D327" s="11" t="s">
        <v>21</v>
      </c>
      <c r="E327" s="11" t="s">
        <v>26</v>
      </c>
      <c r="F327" s="11" t="s">
        <v>22</v>
      </c>
      <c r="G327" s="11" t="s">
        <v>18</v>
      </c>
      <c r="H327" s="31" t="str">
        <f t="shared" ref="H327:H390" si="11">IF(E327="Manager","5 Tahun",IF(E327="Senior","2 Tahun ","1 Tahun"))</f>
        <v xml:space="preserve">2 Tahun </v>
      </c>
      <c r="I327" s="12">
        <f t="shared" si="10"/>
        <v>15000000</v>
      </c>
      <c r="J327" s="13">
        <v>3</v>
      </c>
    </row>
    <row r="328" spans="1:10" x14ac:dyDescent="0.25">
      <c r="A328" s="6" t="s">
        <v>669</v>
      </c>
      <c r="B328" s="7" t="s">
        <v>670</v>
      </c>
      <c r="C328" s="7" t="s">
        <v>49</v>
      </c>
      <c r="D328" s="7" t="s">
        <v>17</v>
      </c>
      <c r="E328" s="7" t="s">
        <v>12</v>
      </c>
      <c r="F328" s="7" t="s">
        <v>22</v>
      </c>
      <c r="G328" s="7" t="s">
        <v>14</v>
      </c>
      <c r="H328" s="31" t="str">
        <f t="shared" si="11"/>
        <v>5 Tahun</v>
      </c>
      <c r="I328" s="8">
        <f t="shared" si="10"/>
        <v>20000000</v>
      </c>
      <c r="J328" s="9">
        <v>5</v>
      </c>
    </row>
    <row r="329" spans="1:10" x14ac:dyDescent="0.25">
      <c r="A329" s="10" t="s">
        <v>671</v>
      </c>
      <c r="B329" s="11" t="s">
        <v>672</v>
      </c>
      <c r="C329" s="11" t="s">
        <v>49</v>
      </c>
      <c r="D329" s="11" t="s">
        <v>11</v>
      </c>
      <c r="E329" s="11" t="s">
        <v>40</v>
      </c>
      <c r="F329" s="11" t="s">
        <v>13</v>
      </c>
      <c r="G329" s="11" t="s">
        <v>18</v>
      </c>
      <c r="H329" s="31" t="str">
        <f t="shared" si="11"/>
        <v>1 Tahun</v>
      </c>
      <c r="I329" s="12">
        <f t="shared" si="10"/>
        <v>7000000</v>
      </c>
      <c r="J329" s="13">
        <v>3</v>
      </c>
    </row>
    <row r="330" spans="1:10" x14ac:dyDescent="0.25">
      <c r="A330" s="6" t="s">
        <v>673</v>
      </c>
      <c r="B330" s="7" t="s">
        <v>674</v>
      </c>
      <c r="C330" s="7" t="s">
        <v>49</v>
      </c>
      <c r="D330" s="7" t="s">
        <v>21</v>
      </c>
      <c r="E330" s="7" t="s">
        <v>40</v>
      </c>
      <c r="F330" s="7" t="s">
        <v>13</v>
      </c>
      <c r="G330" s="7" t="s">
        <v>14</v>
      </c>
      <c r="H330" s="31" t="str">
        <f t="shared" si="11"/>
        <v>1 Tahun</v>
      </c>
      <c r="I330" s="8">
        <f t="shared" si="10"/>
        <v>7000000</v>
      </c>
      <c r="J330" s="9">
        <v>5</v>
      </c>
    </row>
    <row r="331" spans="1:10" x14ac:dyDescent="0.25">
      <c r="A331" s="10" t="s">
        <v>675</v>
      </c>
      <c r="B331" s="11" t="s">
        <v>676</v>
      </c>
      <c r="C331" s="11" t="s">
        <v>49</v>
      </c>
      <c r="D331" s="11" t="s">
        <v>11</v>
      </c>
      <c r="E331" s="11" t="s">
        <v>12</v>
      </c>
      <c r="F331" s="11" t="s">
        <v>13</v>
      </c>
      <c r="G331" s="11" t="s">
        <v>18</v>
      </c>
      <c r="H331" s="31" t="str">
        <f t="shared" si="11"/>
        <v>5 Tahun</v>
      </c>
      <c r="I331" s="12">
        <f t="shared" si="10"/>
        <v>20000000</v>
      </c>
      <c r="J331" s="13">
        <v>3</v>
      </c>
    </row>
    <row r="332" spans="1:10" x14ac:dyDescent="0.25">
      <c r="A332" s="6" t="s">
        <v>677</v>
      </c>
      <c r="B332" s="7" t="s">
        <v>678</v>
      </c>
      <c r="C332" s="7" t="s">
        <v>49</v>
      </c>
      <c r="D332" s="7" t="s">
        <v>11</v>
      </c>
      <c r="E332" s="7" t="s">
        <v>12</v>
      </c>
      <c r="F332" s="7" t="s">
        <v>22</v>
      </c>
      <c r="G332" s="7" t="s">
        <v>18</v>
      </c>
      <c r="H332" s="31" t="str">
        <f t="shared" si="11"/>
        <v>5 Tahun</v>
      </c>
      <c r="I332" s="8">
        <f t="shared" si="10"/>
        <v>20000000</v>
      </c>
      <c r="J332" s="9">
        <v>5</v>
      </c>
    </row>
    <row r="333" spans="1:10" x14ac:dyDescent="0.25">
      <c r="A333" s="10" t="s">
        <v>679</v>
      </c>
      <c r="B333" s="11" t="s">
        <v>680</v>
      </c>
      <c r="C333" s="11" t="s">
        <v>49</v>
      </c>
      <c r="D333" s="11" t="s">
        <v>17</v>
      </c>
      <c r="E333" s="11" t="s">
        <v>40</v>
      </c>
      <c r="F333" s="11" t="s">
        <v>13</v>
      </c>
      <c r="G333" s="11" t="s">
        <v>18</v>
      </c>
      <c r="H333" s="31" t="str">
        <f t="shared" si="11"/>
        <v>1 Tahun</v>
      </c>
      <c r="I333" s="12">
        <f t="shared" si="10"/>
        <v>7000000</v>
      </c>
      <c r="J333" s="13">
        <v>4</v>
      </c>
    </row>
    <row r="334" spans="1:10" x14ac:dyDescent="0.25">
      <c r="A334" s="6" t="s">
        <v>681</v>
      </c>
      <c r="B334" s="7" t="s">
        <v>682</v>
      </c>
      <c r="C334" s="7" t="s">
        <v>10</v>
      </c>
      <c r="D334" s="7" t="s">
        <v>29</v>
      </c>
      <c r="E334" s="7" t="s">
        <v>26</v>
      </c>
      <c r="F334" s="7" t="s">
        <v>13</v>
      </c>
      <c r="G334" s="7" t="s">
        <v>14</v>
      </c>
      <c r="H334" s="31" t="str">
        <f t="shared" si="11"/>
        <v xml:space="preserve">2 Tahun </v>
      </c>
      <c r="I334" s="8">
        <f t="shared" si="10"/>
        <v>15000000</v>
      </c>
      <c r="J334" s="9">
        <v>5</v>
      </c>
    </row>
    <row r="335" spans="1:10" x14ac:dyDescent="0.25">
      <c r="A335" s="10" t="s">
        <v>683</v>
      </c>
      <c r="B335" s="11" t="s">
        <v>684</v>
      </c>
      <c r="C335" s="11" t="s">
        <v>10</v>
      </c>
      <c r="D335" s="11" t="s">
        <v>29</v>
      </c>
      <c r="E335" s="11" t="s">
        <v>26</v>
      </c>
      <c r="F335" s="11" t="s">
        <v>13</v>
      </c>
      <c r="G335" s="11" t="s">
        <v>18</v>
      </c>
      <c r="H335" s="31" t="str">
        <f t="shared" si="11"/>
        <v xml:space="preserve">2 Tahun </v>
      </c>
      <c r="I335" s="12">
        <f t="shared" si="10"/>
        <v>15000000</v>
      </c>
      <c r="J335" s="13">
        <v>3</v>
      </c>
    </row>
    <row r="336" spans="1:10" x14ac:dyDescent="0.25">
      <c r="A336" s="6" t="s">
        <v>685</v>
      </c>
      <c r="B336" s="7" t="s">
        <v>686</v>
      </c>
      <c r="C336" s="7" t="s">
        <v>49</v>
      </c>
      <c r="D336" s="7" t="s">
        <v>17</v>
      </c>
      <c r="E336" s="7" t="s">
        <v>40</v>
      </c>
      <c r="F336" s="7" t="s">
        <v>22</v>
      </c>
      <c r="G336" s="7" t="s">
        <v>18</v>
      </c>
      <c r="H336" s="31" t="str">
        <f t="shared" si="11"/>
        <v>1 Tahun</v>
      </c>
      <c r="I336" s="8">
        <f t="shared" si="10"/>
        <v>7000000</v>
      </c>
      <c r="J336" s="9">
        <v>3</v>
      </c>
    </row>
    <row r="337" spans="1:10" x14ac:dyDescent="0.25">
      <c r="A337" s="10" t="s">
        <v>687</v>
      </c>
      <c r="B337" s="11" t="s">
        <v>688</v>
      </c>
      <c r="C337" s="11" t="s">
        <v>10</v>
      </c>
      <c r="D337" s="11" t="s">
        <v>29</v>
      </c>
      <c r="E337" s="11" t="s">
        <v>40</v>
      </c>
      <c r="F337" s="11" t="s">
        <v>13</v>
      </c>
      <c r="G337" s="11" t="s">
        <v>14</v>
      </c>
      <c r="H337" s="31" t="str">
        <f t="shared" si="11"/>
        <v>1 Tahun</v>
      </c>
      <c r="I337" s="12">
        <f t="shared" si="10"/>
        <v>7000000</v>
      </c>
      <c r="J337" s="13">
        <v>5</v>
      </c>
    </row>
    <row r="338" spans="1:10" x14ac:dyDescent="0.25">
      <c r="A338" s="6" t="s">
        <v>689</v>
      </c>
      <c r="B338" s="7" t="s">
        <v>690</v>
      </c>
      <c r="C338" s="7" t="s">
        <v>49</v>
      </c>
      <c r="D338" s="7" t="s">
        <v>25</v>
      </c>
      <c r="E338" s="7" t="s">
        <v>40</v>
      </c>
      <c r="F338" s="7" t="s">
        <v>22</v>
      </c>
      <c r="G338" s="7" t="s">
        <v>14</v>
      </c>
      <c r="H338" s="31" t="str">
        <f t="shared" si="11"/>
        <v>1 Tahun</v>
      </c>
      <c r="I338" s="8">
        <f t="shared" si="10"/>
        <v>7000000</v>
      </c>
      <c r="J338" s="9">
        <v>3</v>
      </c>
    </row>
    <row r="339" spans="1:10" x14ac:dyDescent="0.25">
      <c r="A339" s="10" t="s">
        <v>691</v>
      </c>
      <c r="B339" s="11" t="s">
        <v>692</v>
      </c>
      <c r="C339" s="11" t="s">
        <v>10</v>
      </c>
      <c r="D339" s="11" t="s">
        <v>21</v>
      </c>
      <c r="E339" s="11" t="s">
        <v>40</v>
      </c>
      <c r="F339" s="11" t="s">
        <v>22</v>
      </c>
      <c r="G339" s="11" t="s">
        <v>14</v>
      </c>
      <c r="H339" s="31" t="str">
        <f t="shared" si="11"/>
        <v>1 Tahun</v>
      </c>
      <c r="I339" s="12">
        <f t="shared" si="10"/>
        <v>7000000</v>
      </c>
      <c r="J339" s="13">
        <v>4</v>
      </c>
    </row>
    <row r="340" spans="1:10" x14ac:dyDescent="0.25">
      <c r="A340" s="6" t="s">
        <v>693</v>
      </c>
      <c r="B340" s="7" t="s">
        <v>694</v>
      </c>
      <c r="C340" s="7" t="s">
        <v>10</v>
      </c>
      <c r="D340" s="7" t="s">
        <v>21</v>
      </c>
      <c r="E340" s="7" t="s">
        <v>40</v>
      </c>
      <c r="F340" s="7" t="s">
        <v>22</v>
      </c>
      <c r="G340" s="7" t="s">
        <v>18</v>
      </c>
      <c r="H340" s="31" t="str">
        <f t="shared" si="11"/>
        <v>1 Tahun</v>
      </c>
      <c r="I340" s="8">
        <f t="shared" si="10"/>
        <v>7000000</v>
      </c>
      <c r="J340" s="9">
        <v>5</v>
      </c>
    </row>
    <row r="341" spans="1:10" x14ac:dyDescent="0.25">
      <c r="A341" s="10" t="s">
        <v>695</v>
      </c>
      <c r="B341" s="11" t="s">
        <v>696</v>
      </c>
      <c r="C341" s="11" t="s">
        <v>49</v>
      </c>
      <c r="D341" s="11" t="s">
        <v>25</v>
      </c>
      <c r="E341" s="11" t="s">
        <v>26</v>
      </c>
      <c r="F341" s="11" t="s">
        <v>22</v>
      </c>
      <c r="G341" s="11" t="s">
        <v>18</v>
      </c>
      <c r="H341" s="31" t="str">
        <f t="shared" si="11"/>
        <v xml:space="preserve">2 Tahun </v>
      </c>
      <c r="I341" s="12">
        <f t="shared" si="10"/>
        <v>15000000</v>
      </c>
      <c r="J341" s="13">
        <v>4</v>
      </c>
    </row>
    <row r="342" spans="1:10" x14ac:dyDescent="0.25">
      <c r="A342" s="6" t="s">
        <v>697</v>
      </c>
      <c r="B342" s="7" t="s">
        <v>698</v>
      </c>
      <c r="C342" s="7" t="s">
        <v>49</v>
      </c>
      <c r="D342" s="7" t="s">
        <v>21</v>
      </c>
      <c r="E342" s="7" t="s">
        <v>26</v>
      </c>
      <c r="F342" s="7" t="s">
        <v>22</v>
      </c>
      <c r="G342" s="7" t="s">
        <v>18</v>
      </c>
      <c r="H342" s="31" t="str">
        <f t="shared" si="11"/>
        <v xml:space="preserve">2 Tahun </v>
      </c>
      <c r="I342" s="8">
        <f t="shared" si="10"/>
        <v>15000000</v>
      </c>
      <c r="J342" s="9">
        <v>4</v>
      </c>
    </row>
    <row r="343" spans="1:10" x14ac:dyDescent="0.25">
      <c r="A343" s="10" t="s">
        <v>699</v>
      </c>
      <c r="B343" s="11" t="s">
        <v>700</v>
      </c>
      <c r="C343" s="11" t="s">
        <v>49</v>
      </c>
      <c r="D343" s="11" t="s">
        <v>25</v>
      </c>
      <c r="E343" s="11" t="s">
        <v>40</v>
      </c>
      <c r="F343" s="11" t="s">
        <v>13</v>
      </c>
      <c r="G343" s="11" t="s">
        <v>14</v>
      </c>
      <c r="H343" s="31" t="str">
        <f t="shared" si="11"/>
        <v>1 Tahun</v>
      </c>
      <c r="I343" s="12">
        <f t="shared" si="10"/>
        <v>7000000</v>
      </c>
      <c r="J343" s="13">
        <v>5</v>
      </c>
    </row>
    <row r="344" spans="1:10" x14ac:dyDescent="0.25">
      <c r="A344" s="6" t="s">
        <v>701</v>
      </c>
      <c r="B344" s="7" t="s">
        <v>702</v>
      </c>
      <c r="C344" s="7" t="s">
        <v>49</v>
      </c>
      <c r="D344" s="7" t="s">
        <v>17</v>
      </c>
      <c r="E344" s="7" t="s">
        <v>40</v>
      </c>
      <c r="F344" s="7" t="s">
        <v>22</v>
      </c>
      <c r="G344" s="7" t="s">
        <v>18</v>
      </c>
      <c r="H344" s="31" t="str">
        <f t="shared" si="11"/>
        <v>1 Tahun</v>
      </c>
      <c r="I344" s="8">
        <f t="shared" si="10"/>
        <v>7000000</v>
      </c>
      <c r="J344" s="9">
        <v>3</v>
      </c>
    </row>
    <row r="345" spans="1:10" x14ac:dyDescent="0.25">
      <c r="A345" s="10" t="s">
        <v>703</v>
      </c>
      <c r="B345" s="11" t="s">
        <v>704</v>
      </c>
      <c r="C345" s="11" t="s">
        <v>49</v>
      </c>
      <c r="D345" s="11" t="s">
        <v>25</v>
      </c>
      <c r="E345" s="11" t="s">
        <v>12</v>
      </c>
      <c r="F345" s="11" t="s">
        <v>13</v>
      </c>
      <c r="G345" s="11" t="s">
        <v>14</v>
      </c>
      <c r="H345" s="31" t="str">
        <f t="shared" si="11"/>
        <v>5 Tahun</v>
      </c>
      <c r="I345" s="12">
        <f t="shared" si="10"/>
        <v>20000000</v>
      </c>
      <c r="J345" s="13">
        <v>4</v>
      </c>
    </row>
    <row r="346" spans="1:10" x14ac:dyDescent="0.25">
      <c r="A346" s="6" t="s">
        <v>705</v>
      </c>
      <c r="B346" s="7" t="s">
        <v>706</v>
      </c>
      <c r="C346" s="7" t="s">
        <v>49</v>
      </c>
      <c r="D346" s="7" t="s">
        <v>21</v>
      </c>
      <c r="E346" s="7" t="s">
        <v>40</v>
      </c>
      <c r="F346" s="7" t="s">
        <v>22</v>
      </c>
      <c r="G346" s="7" t="s">
        <v>18</v>
      </c>
      <c r="H346" s="31" t="str">
        <f t="shared" si="11"/>
        <v>1 Tahun</v>
      </c>
      <c r="I346" s="8">
        <f t="shared" si="10"/>
        <v>7000000</v>
      </c>
      <c r="J346" s="9">
        <v>5</v>
      </c>
    </row>
    <row r="347" spans="1:10" x14ac:dyDescent="0.25">
      <c r="A347" s="10" t="s">
        <v>707</v>
      </c>
      <c r="B347" s="11" t="s">
        <v>708</v>
      </c>
      <c r="C347" s="11" t="s">
        <v>49</v>
      </c>
      <c r="D347" s="11" t="s">
        <v>17</v>
      </c>
      <c r="E347" s="11" t="s">
        <v>12</v>
      </c>
      <c r="F347" s="11" t="s">
        <v>22</v>
      </c>
      <c r="G347" s="11" t="s">
        <v>18</v>
      </c>
      <c r="H347" s="31" t="str">
        <f t="shared" si="11"/>
        <v>5 Tahun</v>
      </c>
      <c r="I347" s="12">
        <f t="shared" si="10"/>
        <v>20000000</v>
      </c>
      <c r="J347" s="13">
        <v>4</v>
      </c>
    </row>
    <row r="348" spans="1:10" x14ac:dyDescent="0.25">
      <c r="A348" s="6" t="s">
        <v>709</v>
      </c>
      <c r="B348" s="7" t="s">
        <v>710</v>
      </c>
      <c r="C348" s="7" t="s">
        <v>10</v>
      </c>
      <c r="D348" s="7" t="s">
        <v>25</v>
      </c>
      <c r="E348" s="7" t="s">
        <v>26</v>
      </c>
      <c r="F348" s="7" t="s">
        <v>13</v>
      </c>
      <c r="G348" s="7" t="s">
        <v>14</v>
      </c>
      <c r="H348" s="31" t="str">
        <f t="shared" si="11"/>
        <v xml:space="preserve">2 Tahun </v>
      </c>
      <c r="I348" s="8">
        <f t="shared" si="10"/>
        <v>15000000</v>
      </c>
      <c r="J348" s="9">
        <v>3</v>
      </c>
    </row>
    <row r="349" spans="1:10" x14ac:dyDescent="0.25">
      <c r="A349" s="10" t="s">
        <v>711</v>
      </c>
      <c r="B349" s="11" t="s">
        <v>712</v>
      </c>
      <c r="C349" s="11" t="s">
        <v>10</v>
      </c>
      <c r="D349" s="11" t="s">
        <v>11</v>
      </c>
      <c r="E349" s="11" t="s">
        <v>40</v>
      </c>
      <c r="F349" s="11" t="s">
        <v>13</v>
      </c>
      <c r="G349" s="11" t="s">
        <v>18</v>
      </c>
      <c r="H349" s="31" t="str">
        <f t="shared" si="11"/>
        <v>1 Tahun</v>
      </c>
      <c r="I349" s="12">
        <f t="shared" si="10"/>
        <v>7000000</v>
      </c>
      <c r="J349" s="13">
        <v>4</v>
      </c>
    </row>
    <row r="350" spans="1:10" x14ac:dyDescent="0.25">
      <c r="A350" s="6" t="s">
        <v>713</v>
      </c>
      <c r="B350" s="7" t="s">
        <v>714</v>
      </c>
      <c r="C350" s="7" t="s">
        <v>49</v>
      </c>
      <c r="D350" s="7" t="s">
        <v>29</v>
      </c>
      <c r="E350" s="7" t="s">
        <v>40</v>
      </c>
      <c r="F350" s="7" t="s">
        <v>22</v>
      </c>
      <c r="G350" s="7" t="s">
        <v>14</v>
      </c>
      <c r="H350" s="31" t="str">
        <f t="shared" si="11"/>
        <v>1 Tahun</v>
      </c>
      <c r="I350" s="8">
        <f t="shared" si="10"/>
        <v>7000000</v>
      </c>
      <c r="J350" s="9">
        <v>3</v>
      </c>
    </row>
    <row r="351" spans="1:10" x14ac:dyDescent="0.25">
      <c r="A351" s="10" t="s">
        <v>715</v>
      </c>
      <c r="B351" s="11" t="s">
        <v>716</v>
      </c>
      <c r="C351" s="11" t="s">
        <v>49</v>
      </c>
      <c r="D351" s="11" t="s">
        <v>11</v>
      </c>
      <c r="E351" s="11" t="s">
        <v>40</v>
      </c>
      <c r="F351" s="11" t="s">
        <v>22</v>
      </c>
      <c r="G351" s="11" t="s">
        <v>18</v>
      </c>
      <c r="H351" s="31" t="str">
        <f t="shared" si="11"/>
        <v>1 Tahun</v>
      </c>
      <c r="I351" s="12">
        <f t="shared" si="10"/>
        <v>7000000</v>
      </c>
      <c r="J351" s="13">
        <v>5</v>
      </c>
    </row>
    <row r="352" spans="1:10" x14ac:dyDescent="0.25">
      <c r="A352" s="6" t="s">
        <v>717</v>
      </c>
      <c r="B352" s="7" t="s">
        <v>718</v>
      </c>
      <c r="C352" s="7" t="s">
        <v>49</v>
      </c>
      <c r="D352" s="7" t="s">
        <v>25</v>
      </c>
      <c r="E352" s="7" t="s">
        <v>12</v>
      </c>
      <c r="F352" s="7" t="s">
        <v>13</v>
      </c>
      <c r="G352" s="7" t="s">
        <v>14</v>
      </c>
      <c r="H352" s="31" t="str">
        <f t="shared" si="11"/>
        <v>5 Tahun</v>
      </c>
      <c r="I352" s="8">
        <f t="shared" si="10"/>
        <v>20000000</v>
      </c>
      <c r="J352" s="9">
        <v>4</v>
      </c>
    </row>
    <row r="353" spans="1:10" x14ac:dyDescent="0.25">
      <c r="A353" s="10" t="s">
        <v>719</v>
      </c>
      <c r="B353" s="11" t="s">
        <v>720</v>
      </c>
      <c r="C353" s="11" t="s">
        <v>10</v>
      </c>
      <c r="D353" s="11" t="s">
        <v>11</v>
      </c>
      <c r="E353" s="11" t="s">
        <v>12</v>
      </c>
      <c r="F353" s="11" t="s">
        <v>22</v>
      </c>
      <c r="G353" s="11" t="s">
        <v>14</v>
      </c>
      <c r="H353" s="31" t="str">
        <f t="shared" si="11"/>
        <v>5 Tahun</v>
      </c>
      <c r="I353" s="12">
        <f t="shared" si="10"/>
        <v>20000000</v>
      </c>
      <c r="J353" s="13">
        <v>4</v>
      </c>
    </row>
    <row r="354" spans="1:10" x14ac:dyDescent="0.25">
      <c r="A354" s="6" t="s">
        <v>721</v>
      </c>
      <c r="B354" s="7" t="s">
        <v>722</v>
      </c>
      <c r="C354" s="7" t="s">
        <v>49</v>
      </c>
      <c r="D354" s="7" t="s">
        <v>11</v>
      </c>
      <c r="E354" s="7" t="s">
        <v>12</v>
      </c>
      <c r="F354" s="7" t="s">
        <v>22</v>
      </c>
      <c r="G354" s="7" t="s">
        <v>14</v>
      </c>
      <c r="H354" s="31" t="str">
        <f t="shared" si="11"/>
        <v>5 Tahun</v>
      </c>
      <c r="I354" s="8">
        <f t="shared" si="10"/>
        <v>20000000</v>
      </c>
      <c r="J354" s="9">
        <v>3</v>
      </c>
    </row>
    <row r="355" spans="1:10" x14ac:dyDescent="0.25">
      <c r="A355" s="10" t="s">
        <v>723</v>
      </c>
      <c r="B355" s="11" t="s">
        <v>724</v>
      </c>
      <c r="C355" s="11" t="s">
        <v>10</v>
      </c>
      <c r="D355" s="11" t="s">
        <v>11</v>
      </c>
      <c r="E355" s="11" t="s">
        <v>40</v>
      </c>
      <c r="F355" s="11" t="s">
        <v>22</v>
      </c>
      <c r="G355" s="11" t="s">
        <v>14</v>
      </c>
      <c r="H355" s="31" t="str">
        <f t="shared" si="11"/>
        <v>1 Tahun</v>
      </c>
      <c r="I355" s="12">
        <f t="shared" si="10"/>
        <v>7000000</v>
      </c>
      <c r="J355" s="13">
        <v>3</v>
      </c>
    </row>
    <row r="356" spans="1:10" x14ac:dyDescent="0.25">
      <c r="A356" s="6" t="s">
        <v>725</v>
      </c>
      <c r="B356" s="7" t="s">
        <v>726</v>
      </c>
      <c r="C356" s="7" t="s">
        <v>10</v>
      </c>
      <c r="D356" s="7" t="s">
        <v>11</v>
      </c>
      <c r="E356" s="7" t="s">
        <v>26</v>
      </c>
      <c r="F356" s="7" t="s">
        <v>13</v>
      </c>
      <c r="G356" s="7" t="s">
        <v>18</v>
      </c>
      <c r="H356" s="31" t="str">
        <f t="shared" si="11"/>
        <v xml:space="preserve">2 Tahun </v>
      </c>
      <c r="I356" s="8">
        <f t="shared" si="10"/>
        <v>15000000</v>
      </c>
      <c r="J356" s="9">
        <v>4</v>
      </c>
    </row>
    <row r="357" spans="1:10" x14ac:dyDescent="0.25">
      <c r="A357" s="10" t="s">
        <v>727</v>
      </c>
      <c r="B357" s="11" t="s">
        <v>728</v>
      </c>
      <c r="C357" s="11" t="s">
        <v>10</v>
      </c>
      <c r="D357" s="11" t="s">
        <v>17</v>
      </c>
      <c r="E357" s="11" t="s">
        <v>12</v>
      </c>
      <c r="F357" s="11" t="s">
        <v>13</v>
      </c>
      <c r="G357" s="11" t="s">
        <v>14</v>
      </c>
      <c r="H357" s="31" t="str">
        <f t="shared" si="11"/>
        <v>5 Tahun</v>
      </c>
      <c r="I357" s="12">
        <f t="shared" si="10"/>
        <v>20000000</v>
      </c>
      <c r="J357" s="13">
        <v>5</v>
      </c>
    </row>
    <row r="358" spans="1:10" x14ac:dyDescent="0.25">
      <c r="A358" s="6" t="s">
        <v>729</v>
      </c>
      <c r="B358" s="7" t="s">
        <v>730</v>
      </c>
      <c r="C358" s="7" t="s">
        <v>10</v>
      </c>
      <c r="D358" s="7" t="s">
        <v>25</v>
      </c>
      <c r="E358" s="7" t="s">
        <v>12</v>
      </c>
      <c r="F358" s="7" t="s">
        <v>22</v>
      </c>
      <c r="G358" s="7" t="s">
        <v>18</v>
      </c>
      <c r="H358" s="31" t="str">
        <f t="shared" si="11"/>
        <v>5 Tahun</v>
      </c>
      <c r="I358" s="8">
        <f t="shared" si="10"/>
        <v>20000000</v>
      </c>
      <c r="J358" s="9">
        <v>3</v>
      </c>
    </row>
    <row r="359" spans="1:10" x14ac:dyDescent="0.25">
      <c r="A359" s="10" t="s">
        <v>731</v>
      </c>
      <c r="B359" s="11" t="s">
        <v>732</v>
      </c>
      <c r="C359" s="11" t="s">
        <v>49</v>
      </c>
      <c r="D359" s="11" t="s">
        <v>17</v>
      </c>
      <c r="E359" s="11" t="s">
        <v>40</v>
      </c>
      <c r="F359" s="11" t="s">
        <v>13</v>
      </c>
      <c r="G359" s="11" t="s">
        <v>18</v>
      </c>
      <c r="H359" s="31" t="str">
        <f t="shared" si="11"/>
        <v>1 Tahun</v>
      </c>
      <c r="I359" s="12">
        <f t="shared" si="10"/>
        <v>7000000</v>
      </c>
      <c r="J359" s="13">
        <v>3</v>
      </c>
    </row>
    <row r="360" spans="1:10" x14ac:dyDescent="0.25">
      <c r="A360" s="6" t="s">
        <v>733</v>
      </c>
      <c r="B360" s="7" t="s">
        <v>734</v>
      </c>
      <c r="C360" s="7" t="s">
        <v>10</v>
      </c>
      <c r="D360" s="7" t="s">
        <v>29</v>
      </c>
      <c r="E360" s="7" t="s">
        <v>40</v>
      </c>
      <c r="F360" s="7" t="s">
        <v>22</v>
      </c>
      <c r="G360" s="7" t="s">
        <v>14</v>
      </c>
      <c r="H360" s="31" t="str">
        <f t="shared" si="11"/>
        <v>1 Tahun</v>
      </c>
      <c r="I360" s="8">
        <f t="shared" si="10"/>
        <v>7000000</v>
      </c>
      <c r="J360" s="9">
        <v>3</v>
      </c>
    </row>
    <row r="361" spans="1:10" x14ac:dyDescent="0.25">
      <c r="A361" s="10" t="s">
        <v>735</v>
      </c>
      <c r="B361" s="11" t="s">
        <v>736</v>
      </c>
      <c r="C361" s="11" t="s">
        <v>10</v>
      </c>
      <c r="D361" s="11" t="s">
        <v>29</v>
      </c>
      <c r="E361" s="11" t="s">
        <v>40</v>
      </c>
      <c r="F361" s="11" t="s">
        <v>13</v>
      </c>
      <c r="G361" s="11" t="s">
        <v>14</v>
      </c>
      <c r="H361" s="31" t="str">
        <f t="shared" si="11"/>
        <v>1 Tahun</v>
      </c>
      <c r="I361" s="12">
        <f t="shared" si="10"/>
        <v>7000000</v>
      </c>
      <c r="J361" s="13">
        <v>3</v>
      </c>
    </row>
    <row r="362" spans="1:10" x14ac:dyDescent="0.25">
      <c r="A362" s="6" t="s">
        <v>737</v>
      </c>
      <c r="B362" s="7" t="s">
        <v>738</v>
      </c>
      <c r="C362" s="7" t="s">
        <v>49</v>
      </c>
      <c r="D362" s="7" t="s">
        <v>17</v>
      </c>
      <c r="E362" s="7" t="s">
        <v>12</v>
      </c>
      <c r="F362" s="7" t="s">
        <v>22</v>
      </c>
      <c r="G362" s="7" t="s">
        <v>18</v>
      </c>
      <c r="H362" s="31" t="str">
        <f t="shared" si="11"/>
        <v>5 Tahun</v>
      </c>
      <c r="I362" s="8">
        <f t="shared" si="10"/>
        <v>20000000</v>
      </c>
      <c r="J362" s="9">
        <v>3</v>
      </c>
    </row>
    <row r="363" spans="1:10" x14ac:dyDescent="0.25">
      <c r="A363" s="10" t="s">
        <v>739</v>
      </c>
      <c r="B363" s="11" t="s">
        <v>740</v>
      </c>
      <c r="C363" s="11" t="s">
        <v>49</v>
      </c>
      <c r="D363" s="11" t="s">
        <v>11</v>
      </c>
      <c r="E363" s="11" t="s">
        <v>40</v>
      </c>
      <c r="F363" s="11" t="s">
        <v>13</v>
      </c>
      <c r="G363" s="11" t="s">
        <v>18</v>
      </c>
      <c r="H363" s="31" t="str">
        <f t="shared" si="11"/>
        <v>1 Tahun</v>
      </c>
      <c r="I363" s="12">
        <f t="shared" si="10"/>
        <v>7000000</v>
      </c>
      <c r="J363" s="13">
        <v>3</v>
      </c>
    </row>
    <row r="364" spans="1:10" x14ac:dyDescent="0.25">
      <c r="A364" s="6" t="s">
        <v>741</v>
      </c>
      <c r="B364" s="7" t="s">
        <v>742</v>
      </c>
      <c r="C364" s="7" t="s">
        <v>49</v>
      </c>
      <c r="D364" s="7" t="s">
        <v>25</v>
      </c>
      <c r="E364" s="7" t="s">
        <v>40</v>
      </c>
      <c r="F364" s="7" t="s">
        <v>13</v>
      </c>
      <c r="G364" s="7" t="s">
        <v>18</v>
      </c>
      <c r="H364" s="31" t="str">
        <f t="shared" si="11"/>
        <v>1 Tahun</v>
      </c>
      <c r="I364" s="8">
        <f t="shared" si="10"/>
        <v>7000000</v>
      </c>
      <c r="J364" s="9">
        <v>3</v>
      </c>
    </row>
    <row r="365" spans="1:10" x14ac:dyDescent="0.25">
      <c r="A365" s="10" t="s">
        <v>743</v>
      </c>
      <c r="B365" s="11" t="s">
        <v>744</v>
      </c>
      <c r="C365" s="11" t="s">
        <v>49</v>
      </c>
      <c r="D365" s="11" t="s">
        <v>29</v>
      </c>
      <c r="E365" s="11" t="s">
        <v>40</v>
      </c>
      <c r="F365" s="11" t="s">
        <v>13</v>
      </c>
      <c r="G365" s="11" t="s">
        <v>14</v>
      </c>
      <c r="H365" s="31" t="str">
        <f t="shared" si="11"/>
        <v>1 Tahun</v>
      </c>
      <c r="I365" s="12">
        <f t="shared" si="10"/>
        <v>7000000</v>
      </c>
      <c r="J365" s="13">
        <v>5</v>
      </c>
    </row>
    <row r="366" spans="1:10" x14ac:dyDescent="0.25">
      <c r="A366" s="6" t="s">
        <v>745</v>
      </c>
      <c r="B366" s="7" t="s">
        <v>746</v>
      </c>
      <c r="C366" s="7" t="s">
        <v>49</v>
      </c>
      <c r="D366" s="7" t="s">
        <v>21</v>
      </c>
      <c r="E366" s="7" t="s">
        <v>40</v>
      </c>
      <c r="F366" s="7" t="s">
        <v>22</v>
      </c>
      <c r="G366" s="7" t="s">
        <v>14</v>
      </c>
      <c r="H366" s="31" t="str">
        <f t="shared" si="11"/>
        <v>1 Tahun</v>
      </c>
      <c r="I366" s="8">
        <f t="shared" si="10"/>
        <v>7000000</v>
      </c>
      <c r="J366" s="9">
        <v>4</v>
      </c>
    </row>
    <row r="367" spans="1:10" x14ac:dyDescent="0.25">
      <c r="A367" s="10" t="s">
        <v>747</v>
      </c>
      <c r="B367" s="11" t="s">
        <v>748</v>
      </c>
      <c r="C367" s="11" t="s">
        <v>10</v>
      </c>
      <c r="D367" s="11" t="s">
        <v>29</v>
      </c>
      <c r="E367" s="11" t="s">
        <v>40</v>
      </c>
      <c r="F367" s="11" t="s">
        <v>22</v>
      </c>
      <c r="G367" s="11" t="s">
        <v>14</v>
      </c>
      <c r="H367" s="31" t="str">
        <f t="shared" si="11"/>
        <v>1 Tahun</v>
      </c>
      <c r="I367" s="12">
        <f t="shared" si="10"/>
        <v>7000000</v>
      </c>
      <c r="J367" s="13">
        <v>3</v>
      </c>
    </row>
    <row r="368" spans="1:10" x14ac:dyDescent="0.25">
      <c r="A368" s="6" t="s">
        <v>749</v>
      </c>
      <c r="B368" s="7" t="s">
        <v>750</v>
      </c>
      <c r="C368" s="7" t="s">
        <v>49</v>
      </c>
      <c r="D368" s="7" t="s">
        <v>17</v>
      </c>
      <c r="E368" s="7" t="s">
        <v>26</v>
      </c>
      <c r="F368" s="7" t="s">
        <v>22</v>
      </c>
      <c r="G368" s="7" t="s">
        <v>18</v>
      </c>
      <c r="H368" s="31" t="str">
        <f t="shared" si="11"/>
        <v xml:space="preserve">2 Tahun </v>
      </c>
      <c r="I368" s="8">
        <f t="shared" si="10"/>
        <v>15000000</v>
      </c>
      <c r="J368" s="9">
        <v>3</v>
      </c>
    </row>
    <row r="369" spans="1:10" x14ac:dyDescent="0.25">
      <c r="A369" s="10" t="s">
        <v>751</v>
      </c>
      <c r="B369" s="11" t="s">
        <v>752</v>
      </c>
      <c r="C369" s="11" t="s">
        <v>49</v>
      </c>
      <c r="D369" s="11" t="s">
        <v>21</v>
      </c>
      <c r="E369" s="11" t="s">
        <v>40</v>
      </c>
      <c r="F369" s="11" t="s">
        <v>13</v>
      </c>
      <c r="G369" s="11" t="s">
        <v>14</v>
      </c>
      <c r="H369" s="31" t="str">
        <f t="shared" si="11"/>
        <v>1 Tahun</v>
      </c>
      <c r="I369" s="12">
        <f t="shared" si="10"/>
        <v>7000000</v>
      </c>
      <c r="J369" s="13">
        <v>4</v>
      </c>
    </row>
    <row r="370" spans="1:10" x14ac:dyDescent="0.25">
      <c r="A370" s="6" t="s">
        <v>753</v>
      </c>
      <c r="B370" s="7" t="s">
        <v>754</v>
      </c>
      <c r="C370" s="7" t="s">
        <v>49</v>
      </c>
      <c r="D370" s="7" t="s">
        <v>17</v>
      </c>
      <c r="E370" s="7" t="s">
        <v>12</v>
      </c>
      <c r="F370" s="7" t="s">
        <v>22</v>
      </c>
      <c r="G370" s="7" t="s">
        <v>18</v>
      </c>
      <c r="H370" s="31" t="str">
        <f t="shared" si="11"/>
        <v>5 Tahun</v>
      </c>
      <c r="I370" s="8">
        <f t="shared" si="10"/>
        <v>20000000</v>
      </c>
      <c r="J370" s="9">
        <v>4</v>
      </c>
    </row>
    <row r="371" spans="1:10" x14ac:dyDescent="0.25">
      <c r="A371" s="10" t="s">
        <v>755</v>
      </c>
      <c r="B371" s="11" t="s">
        <v>756</v>
      </c>
      <c r="C371" s="11" t="s">
        <v>49</v>
      </c>
      <c r="D371" s="11" t="s">
        <v>11</v>
      </c>
      <c r="E371" s="11" t="s">
        <v>26</v>
      </c>
      <c r="F371" s="11" t="s">
        <v>22</v>
      </c>
      <c r="G371" s="11" t="s">
        <v>18</v>
      </c>
      <c r="H371" s="31" t="str">
        <f t="shared" si="11"/>
        <v xml:space="preserve">2 Tahun </v>
      </c>
      <c r="I371" s="12">
        <f t="shared" si="10"/>
        <v>15000000</v>
      </c>
      <c r="J371" s="13">
        <v>3</v>
      </c>
    </row>
    <row r="372" spans="1:10" x14ac:dyDescent="0.25">
      <c r="A372" s="6" t="s">
        <v>757</v>
      </c>
      <c r="B372" s="7" t="s">
        <v>758</v>
      </c>
      <c r="C372" s="7" t="s">
        <v>49</v>
      </c>
      <c r="D372" s="7" t="s">
        <v>29</v>
      </c>
      <c r="E372" s="7" t="s">
        <v>12</v>
      </c>
      <c r="F372" s="7" t="s">
        <v>13</v>
      </c>
      <c r="G372" s="7" t="s">
        <v>18</v>
      </c>
      <c r="H372" s="31" t="str">
        <f t="shared" si="11"/>
        <v>5 Tahun</v>
      </c>
      <c r="I372" s="8">
        <f t="shared" si="10"/>
        <v>20000000</v>
      </c>
      <c r="J372" s="9">
        <v>3</v>
      </c>
    </row>
    <row r="373" spans="1:10" x14ac:dyDescent="0.25">
      <c r="A373" s="10" t="s">
        <v>759</v>
      </c>
      <c r="B373" s="11" t="s">
        <v>760</v>
      </c>
      <c r="C373" s="11" t="s">
        <v>49</v>
      </c>
      <c r="D373" s="11" t="s">
        <v>25</v>
      </c>
      <c r="E373" s="11" t="s">
        <v>12</v>
      </c>
      <c r="F373" s="11" t="s">
        <v>22</v>
      </c>
      <c r="G373" s="11" t="s">
        <v>14</v>
      </c>
      <c r="H373" s="31" t="str">
        <f t="shared" si="11"/>
        <v>5 Tahun</v>
      </c>
      <c r="I373" s="12">
        <f t="shared" si="10"/>
        <v>20000000</v>
      </c>
      <c r="J373" s="13">
        <v>5</v>
      </c>
    </row>
    <row r="374" spans="1:10" x14ac:dyDescent="0.25">
      <c r="A374" s="6" t="s">
        <v>761</v>
      </c>
      <c r="B374" s="7" t="s">
        <v>762</v>
      </c>
      <c r="C374" s="7" t="s">
        <v>10</v>
      </c>
      <c r="D374" s="7" t="s">
        <v>29</v>
      </c>
      <c r="E374" s="7" t="s">
        <v>40</v>
      </c>
      <c r="F374" s="7" t="s">
        <v>13</v>
      </c>
      <c r="G374" s="7" t="s">
        <v>18</v>
      </c>
      <c r="H374" s="31" t="str">
        <f t="shared" si="11"/>
        <v>1 Tahun</v>
      </c>
      <c r="I374" s="8">
        <f t="shared" si="10"/>
        <v>7000000</v>
      </c>
      <c r="J374" s="9">
        <v>4</v>
      </c>
    </row>
    <row r="375" spans="1:10" x14ac:dyDescent="0.25">
      <c r="A375" s="10" t="s">
        <v>763</v>
      </c>
      <c r="B375" s="11" t="s">
        <v>764</v>
      </c>
      <c r="C375" s="11" t="s">
        <v>49</v>
      </c>
      <c r="D375" s="11" t="s">
        <v>25</v>
      </c>
      <c r="E375" s="11" t="s">
        <v>40</v>
      </c>
      <c r="F375" s="11" t="s">
        <v>13</v>
      </c>
      <c r="G375" s="11" t="s">
        <v>14</v>
      </c>
      <c r="H375" s="31" t="str">
        <f t="shared" si="11"/>
        <v>1 Tahun</v>
      </c>
      <c r="I375" s="12">
        <f t="shared" si="10"/>
        <v>7000000</v>
      </c>
      <c r="J375" s="13">
        <v>3</v>
      </c>
    </row>
    <row r="376" spans="1:10" x14ac:dyDescent="0.25">
      <c r="A376" s="6" t="s">
        <v>765</v>
      </c>
      <c r="B376" s="7" t="s">
        <v>766</v>
      </c>
      <c r="C376" s="7" t="s">
        <v>49</v>
      </c>
      <c r="D376" s="7" t="s">
        <v>17</v>
      </c>
      <c r="E376" s="7" t="s">
        <v>40</v>
      </c>
      <c r="F376" s="7" t="s">
        <v>22</v>
      </c>
      <c r="G376" s="7" t="s">
        <v>14</v>
      </c>
      <c r="H376" s="31" t="str">
        <f t="shared" si="11"/>
        <v>1 Tahun</v>
      </c>
      <c r="I376" s="8">
        <f t="shared" si="10"/>
        <v>7000000</v>
      </c>
      <c r="J376" s="9">
        <v>3</v>
      </c>
    </row>
    <row r="377" spans="1:10" x14ac:dyDescent="0.25">
      <c r="A377" s="10" t="s">
        <v>767</v>
      </c>
      <c r="B377" s="11" t="s">
        <v>768</v>
      </c>
      <c r="C377" s="11" t="s">
        <v>49</v>
      </c>
      <c r="D377" s="11" t="s">
        <v>21</v>
      </c>
      <c r="E377" s="11" t="s">
        <v>26</v>
      </c>
      <c r="F377" s="11" t="s">
        <v>13</v>
      </c>
      <c r="G377" s="11" t="s">
        <v>18</v>
      </c>
      <c r="H377" s="31" t="str">
        <f t="shared" si="11"/>
        <v xml:space="preserve">2 Tahun </v>
      </c>
      <c r="I377" s="12">
        <f t="shared" si="10"/>
        <v>15000000</v>
      </c>
      <c r="J377" s="13">
        <v>5</v>
      </c>
    </row>
    <row r="378" spans="1:10" x14ac:dyDescent="0.25">
      <c r="A378" s="6" t="s">
        <v>769</v>
      </c>
      <c r="B378" s="7" t="s">
        <v>770</v>
      </c>
      <c r="C378" s="7" t="s">
        <v>49</v>
      </c>
      <c r="D378" s="7" t="s">
        <v>17</v>
      </c>
      <c r="E378" s="7" t="s">
        <v>12</v>
      </c>
      <c r="F378" s="7" t="s">
        <v>22</v>
      </c>
      <c r="G378" s="7" t="s">
        <v>14</v>
      </c>
      <c r="H378" s="31" t="str">
        <f t="shared" si="11"/>
        <v>5 Tahun</v>
      </c>
      <c r="I378" s="8">
        <f t="shared" si="10"/>
        <v>20000000</v>
      </c>
      <c r="J378" s="9">
        <v>3</v>
      </c>
    </row>
    <row r="379" spans="1:10" x14ac:dyDescent="0.25">
      <c r="A379" s="10" t="s">
        <v>771</v>
      </c>
      <c r="B379" s="11" t="s">
        <v>772</v>
      </c>
      <c r="C379" s="11" t="s">
        <v>49</v>
      </c>
      <c r="D379" s="11" t="s">
        <v>29</v>
      </c>
      <c r="E379" s="11" t="s">
        <v>26</v>
      </c>
      <c r="F379" s="11" t="s">
        <v>13</v>
      </c>
      <c r="G379" s="11" t="s">
        <v>14</v>
      </c>
      <c r="H379" s="31" t="str">
        <f t="shared" si="11"/>
        <v xml:space="preserve">2 Tahun </v>
      </c>
      <c r="I379" s="12">
        <f t="shared" si="10"/>
        <v>15000000</v>
      </c>
      <c r="J379" s="13">
        <v>3</v>
      </c>
    </row>
    <row r="380" spans="1:10" x14ac:dyDescent="0.25">
      <c r="A380" s="6" t="s">
        <v>773</v>
      </c>
      <c r="B380" s="7" t="s">
        <v>774</v>
      </c>
      <c r="C380" s="7" t="s">
        <v>49</v>
      </c>
      <c r="D380" s="7" t="s">
        <v>25</v>
      </c>
      <c r="E380" s="7" t="s">
        <v>12</v>
      </c>
      <c r="F380" s="7" t="s">
        <v>13</v>
      </c>
      <c r="G380" s="7" t="s">
        <v>14</v>
      </c>
      <c r="H380" s="31" t="str">
        <f t="shared" si="11"/>
        <v>5 Tahun</v>
      </c>
      <c r="I380" s="8">
        <f t="shared" si="10"/>
        <v>20000000</v>
      </c>
      <c r="J380" s="9">
        <v>3</v>
      </c>
    </row>
    <row r="381" spans="1:10" x14ac:dyDescent="0.25">
      <c r="A381" s="10" t="s">
        <v>775</v>
      </c>
      <c r="B381" s="11" t="s">
        <v>776</v>
      </c>
      <c r="C381" s="11" t="s">
        <v>10</v>
      </c>
      <c r="D381" s="11" t="s">
        <v>25</v>
      </c>
      <c r="E381" s="11" t="s">
        <v>26</v>
      </c>
      <c r="F381" s="11" t="s">
        <v>13</v>
      </c>
      <c r="G381" s="11" t="s">
        <v>18</v>
      </c>
      <c r="H381" s="31" t="str">
        <f t="shared" si="11"/>
        <v xml:space="preserve">2 Tahun </v>
      </c>
      <c r="I381" s="12">
        <f t="shared" si="10"/>
        <v>15000000</v>
      </c>
      <c r="J381" s="13">
        <v>4</v>
      </c>
    </row>
    <row r="382" spans="1:10" x14ac:dyDescent="0.25">
      <c r="A382" s="6" t="s">
        <v>777</v>
      </c>
      <c r="B382" s="7" t="s">
        <v>778</v>
      </c>
      <c r="C382" s="7" t="s">
        <v>10</v>
      </c>
      <c r="D382" s="7" t="s">
        <v>21</v>
      </c>
      <c r="E382" s="7" t="s">
        <v>26</v>
      </c>
      <c r="F382" s="7" t="s">
        <v>13</v>
      </c>
      <c r="G382" s="7" t="s">
        <v>14</v>
      </c>
      <c r="H382" s="31" t="str">
        <f t="shared" si="11"/>
        <v xml:space="preserve">2 Tahun </v>
      </c>
      <c r="I382" s="8">
        <f t="shared" si="10"/>
        <v>15000000</v>
      </c>
      <c r="J382" s="9">
        <v>5</v>
      </c>
    </row>
    <row r="383" spans="1:10" x14ac:dyDescent="0.25">
      <c r="A383" s="10" t="s">
        <v>779</v>
      </c>
      <c r="B383" s="11" t="s">
        <v>780</v>
      </c>
      <c r="C383" s="11" t="s">
        <v>10</v>
      </c>
      <c r="D383" s="11" t="s">
        <v>17</v>
      </c>
      <c r="E383" s="11" t="s">
        <v>26</v>
      </c>
      <c r="F383" s="11" t="s">
        <v>22</v>
      </c>
      <c r="G383" s="11" t="s">
        <v>18</v>
      </c>
      <c r="H383" s="31" t="str">
        <f t="shared" si="11"/>
        <v xml:space="preserve">2 Tahun </v>
      </c>
      <c r="I383" s="12">
        <f t="shared" si="10"/>
        <v>15000000</v>
      </c>
      <c r="J383" s="13">
        <v>4</v>
      </c>
    </row>
    <row r="384" spans="1:10" x14ac:dyDescent="0.25">
      <c r="A384" s="6" t="s">
        <v>781</v>
      </c>
      <c r="B384" s="7" t="s">
        <v>782</v>
      </c>
      <c r="C384" s="7" t="s">
        <v>10</v>
      </c>
      <c r="D384" s="7" t="s">
        <v>29</v>
      </c>
      <c r="E384" s="7" t="s">
        <v>12</v>
      </c>
      <c r="F384" s="7" t="s">
        <v>13</v>
      </c>
      <c r="G384" s="7" t="s">
        <v>18</v>
      </c>
      <c r="H384" s="31" t="str">
        <f t="shared" si="11"/>
        <v>5 Tahun</v>
      </c>
      <c r="I384" s="8">
        <f t="shared" si="10"/>
        <v>20000000</v>
      </c>
      <c r="J384" s="9">
        <v>5</v>
      </c>
    </row>
    <row r="385" spans="1:10" x14ac:dyDescent="0.25">
      <c r="A385" s="10" t="s">
        <v>783</v>
      </c>
      <c r="B385" s="11" t="s">
        <v>784</v>
      </c>
      <c r="C385" s="11" t="s">
        <v>10</v>
      </c>
      <c r="D385" s="11" t="s">
        <v>17</v>
      </c>
      <c r="E385" s="11" t="s">
        <v>12</v>
      </c>
      <c r="F385" s="11" t="s">
        <v>22</v>
      </c>
      <c r="G385" s="11" t="s">
        <v>18</v>
      </c>
      <c r="H385" s="31" t="str">
        <f t="shared" si="11"/>
        <v>5 Tahun</v>
      </c>
      <c r="I385" s="12">
        <f t="shared" si="10"/>
        <v>20000000</v>
      </c>
      <c r="J385" s="13">
        <v>4</v>
      </c>
    </row>
    <row r="386" spans="1:10" x14ac:dyDescent="0.25">
      <c r="A386" s="6" t="s">
        <v>785</v>
      </c>
      <c r="B386" s="7" t="s">
        <v>786</v>
      </c>
      <c r="C386" s="7" t="s">
        <v>10</v>
      </c>
      <c r="D386" s="7" t="s">
        <v>11</v>
      </c>
      <c r="E386" s="7" t="s">
        <v>40</v>
      </c>
      <c r="F386" s="7" t="s">
        <v>13</v>
      </c>
      <c r="G386" s="7" t="s">
        <v>18</v>
      </c>
      <c r="H386" s="31" t="str">
        <f t="shared" si="11"/>
        <v>1 Tahun</v>
      </c>
      <c r="I386" s="8">
        <f t="shared" si="10"/>
        <v>7000000</v>
      </c>
      <c r="J386" s="9">
        <v>5</v>
      </c>
    </row>
    <row r="387" spans="1:10" x14ac:dyDescent="0.25">
      <c r="A387" s="10" t="s">
        <v>787</v>
      </c>
      <c r="B387" s="11" t="s">
        <v>788</v>
      </c>
      <c r="C387" s="11" t="s">
        <v>10</v>
      </c>
      <c r="D387" s="11" t="s">
        <v>25</v>
      </c>
      <c r="E387" s="11" t="s">
        <v>12</v>
      </c>
      <c r="F387" s="11" t="s">
        <v>13</v>
      </c>
      <c r="G387" s="11" t="s">
        <v>18</v>
      </c>
      <c r="H387" s="31" t="str">
        <f t="shared" si="11"/>
        <v>5 Tahun</v>
      </c>
      <c r="I387" s="12">
        <f t="shared" si="10"/>
        <v>20000000</v>
      </c>
      <c r="J387" s="13">
        <v>5</v>
      </c>
    </row>
    <row r="388" spans="1:10" x14ac:dyDescent="0.25">
      <c r="A388" s="6" t="s">
        <v>789</v>
      </c>
      <c r="B388" s="7" t="s">
        <v>790</v>
      </c>
      <c r="C388" s="7" t="s">
        <v>10</v>
      </c>
      <c r="D388" s="7" t="s">
        <v>17</v>
      </c>
      <c r="E388" s="7" t="s">
        <v>26</v>
      </c>
      <c r="F388" s="7" t="s">
        <v>13</v>
      </c>
      <c r="G388" s="7" t="s">
        <v>14</v>
      </c>
      <c r="H388" s="31" t="str">
        <f t="shared" si="11"/>
        <v xml:space="preserve">2 Tahun </v>
      </c>
      <c r="I388" s="8">
        <f t="shared" si="10"/>
        <v>15000000</v>
      </c>
      <c r="J388" s="9">
        <v>4</v>
      </c>
    </row>
    <row r="389" spans="1:10" x14ac:dyDescent="0.25">
      <c r="A389" s="10" t="s">
        <v>791</v>
      </c>
      <c r="B389" s="11" t="s">
        <v>792</v>
      </c>
      <c r="C389" s="11" t="s">
        <v>10</v>
      </c>
      <c r="D389" s="11" t="s">
        <v>21</v>
      </c>
      <c r="E389" s="11" t="s">
        <v>26</v>
      </c>
      <c r="F389" s="11" t="s">
        <v>22</v>
      </c>
      <c r="G389" s="11" t="s">
        <v>18</v>
      </c>
      <c r="H389" s="31" t="str">
        <f t="shared" si="11"/>
        <v xml:space="preserve">2 Tahun </v>
      </c>
      <c r="I389" s="12">
        <f t="shared" ref="I389:I452" si="12">IF(E389="Manager",20000000,IF(E389="Senior",15000000,7000000))</f>
        <v>15000000</v>
      </c>
      <c r="J389" s="13">
        <v>5</v>
      </c>
    </row>
    <row r="390" spans="1:10" x14ac:dyDescent="0.25">
      <c r="A390" s="6" t="s">
        <v>793</v>
      </c>
      <c r="B390" s="7" t="s">
        <v>794</v>
      </c>
      <c r="C390" s="7" t="s">
        <v>49</v>
      </c>
      <c r="D390" s="7" t="s">
        <v>29</v>
      </c>
      <c r="E390" s="7" t="s">
        <v>26</v>
      </c>
      <c r="F390" s="7" t="s">
        <v>22</v>
      </c>
      <c r="G390" s="7" t="s">
        <v>14</v>
      </c>
      <c r="H390" s="31" t="str">
        <f t="shared" si="11"/>
        <v xml:space="preserve">2 Tahun </v>
      </c>
      <c r="I390" s="8">
        <f t="shared" si="12"/>
        <v>15000000</v>
      </c>
      <c r="J390" s="9">
        <v>4</v>
      </c>
    </row>
    <row r="391" spans="1:10" x14ac:dyDescent="0.25">
      <c r="A391" s="10" t="s">
        <v>795</v>
      </c>
      <c r="B391" s="11" t="s">
        <v>796</v>
      </c>
      <c r="C391" s="11" t="s">
        <v>10</v>
      </c>
      <c r="D391" s="11" t="s">
        <v>17</v>
      </c>
      <c r="E391" s="11" t="s">
        <v>12</v>
      </c>
      <c r="F391" s="11" t="s">
        <v>22</v>
      </c>
      <c r="G391" s="11" t="s">
        <v>18</v>
      </c>
      <c r="H391" s="31" t="str">
        <f t="shared" ref="H391:H454" si="13">IF(E391="Manager","5 Tahun",IF(E391="Senior","2 Tahun ","1 Tahun"))</f>
        <v>5 Tahun</v>
      </c>
      <c r="I391" s="12">
        <f t="shared" si="12"/>
        <v>20000000</v>
      </c>
      <c r="J391" s="13">
        <v>4</v>
      </c>
    </row>
    <row r="392" spans="1:10" x14ac:dyDescent="0.25">
      <c r="A392" s="6" t="s">
        <v>797</v>
      </c>
      <c r="B392" s="7" t="s">
        <v>798</v>
      </c>
      <c r="C392" s="7" t="s">
        <v>10</v>
      </c>
      <c r="D392" s="7" t="s">
        <v>29</v>
      </c>
      <c r="E392" s="7" t="s">
        <v>26</v>
      </c>
      <c r="F392" s="7" t="s">
        <v>22</v>
      </c>
      <c r="G392" s="7" t="s">
        <v>14</v>
      </c>
      <c r="H392" s="31" t="str">
        <f t="shared" si="13"/>
        <v xml:space="preserve">2 Tahun </v>
      </c>
      <c r="I392" s="8">
        <f t="shared" si="12"/>
        <v>15000000</v>
      </c>
      <c r="J392" s="9">
        <v>4</v>
      </c>
    </row>
    <row r="393" spans="1:10" x14ac:dyDescent="0.25">
      <c r="A393" s="10" t="s">
        <v>799</v>
      </c>
      <c r="B393" s="11" t="s">
        <v>800</v>
      </c>
      <c r="C393" s="11" t="s">
        <v>10</v>
      </c>
      <c r="D393" s="11" t="s">
        <v>29</v>
      </c>
      <c r="E393" s="11" t="s">
        <v>26</v>
      </c>
      <c r="F393" s="11" t="s">
        <v>13</v>
      </c>
      <c r="G393" s="11" t="s">
        <v>18</v>
      </c>
      <c r="H393" s="31" t="str">
        <f t="shared" si="13"/>
        <v xml:space="preserve">2 Tahun </v>
      </c>
      <c r="I393" s="12">
        <f t="shared" si="12"/>
        <v>15000000</v>
      </c>
      <c r="J393" s="13">
        <v>4</v>
      </c>
    </row>
    <row r="394" spans="1:10" x14ac:dyDescent="0.25">
      <c r="A394" s="6" t="s">
        <v>801</v>
      </c>
      <c r="B394" s="7" t="s">
        <v>802</v>
      </c>
      <c r="C394" s="7" t="s">
        <v>10</v>
      </c>
      <c r="D394" s="7" t="s">
        <v>29</v>
      </c>
      <c r="E394" s="7" t="s">
        <v>40</v>
      </c>
      <c r="F394" s="7" t="s">
        <v>13</v>
      </c>
      <c r="G394" s="7" t="s">
        <v>18</v>
      </c>
      <c r="H394" s="31" t="str">
        <f t="shared" si="13"/>
        <v>1 Tahun</v>
      </c>
      <c r="I394" s="8">
        <f t="shared" si="12"/>
        <v>7000000</v>
      </c>
      <c r="J394" s="9">
        <v>5</v>
      </c>
    </row>
    <row r="395" spans="1:10" x14ac:dyDescent="0.25">
      <c r="A395" s="10" t="s">
        <v>803</v>
      </c>
      <c r="B395" s="11" t="s">
        <v>804</v>
      </c>
      <c r="C395" s="11" t="s">
        <v>10</v>
      </c>
      <c r="D395" s="11" t="s">
        <v>11</v>
      </c>
      <c r="E395" s="11" t="s">
        <v>26</v>
      </c>
      <c r="F395" s="11" t="s">
        <v>13</v>
      </c>
      <c r="G395" s="11" t="s">
        <v>14</v>
      </c>
      <c r="H395" s="31" t="str">
        <f t="shared" si="13"/>
        <v xml:space="preserve">2 Tahun </v>
      </c>
      <c r="I395" s="12">
        <f t="shared" si="12"/>
        <v>15000000</v>
      </c>
      <c r="J395" s="13">
        <v>5</v>
      </c>
    </row>
    <row r="396" spans="1:10" x14ac:dyDescent="0.25">
      <c r="A396" s="6" t="s">
        <v>805</v>
      </c>
      <c r="B396" s="7" t="s">
        <v>806</v>
      </c>
      <c r="C396" s="7" t="s">
        <v>10</v>
      </c>
      <c r="D396" s="7" t="s">
        <v>17</v>
      </c>
      <c r="E396" s="7" t="s">
        <v>40</v>
      </c>
      <c r="F396" s="7" t="s">
        <v>22</v>
      </c>
      <c r="G396" s="7" t="s">
        <v>18</v>
      </c>
      <c r="H396" s="31" t="str">
        <f t="shared" si="13"/>
        <v>1 Tahun</v>
      </c>
      <c r="I396" s="8">
        <f t="shared" si="12"/>
        <v>7000000</v>
      </c>
      <c r="J396" s="9">
        <v>5</v>
      </c>
    </row>
    <row r="397" spans="1:10" x14ac:dyDescent="0.25">
      <c r="A397" s="10" t="s">
        <v>807</v>
      </c>
      <c r="B397" s="11" t="s">
        <v>808</v>
      </c>
      <c r="C397" s="11" t="s">
        <v>10</v>
      </c>
      <c r="D397" s="11" t="s">
        <v>21</v>
      </c>
      <c r="E397" s="11" t="s">
        <v>12</v>
      </c>
      <c r="F397" s="11" t="s">
        <v>22</v>
      </c>
      <c r="G397" s="11" t="s">
        <v>18</v>
      </c>
      <c r="H397" s="31" t="str">
        <f t="shared" si="13"/>
        <v>5 Tahun</v>
      </c>
      <c r="I397" s="12">
        <f t="shared" si="12"/>
        <v>20000000</v>
      </c>
      <c r="J397" s="13">
        <v>5</v>
      </c>
    </row>
    <row r="398" spans="1:10" x14ac:dyDescent="0.25">
      <c r="A398" s="6" t="s">
        <v>809</v>
      </c>
      <c r="B398" s="7" t="s">
        <v>810</v>
      </c>
      <c r="C398" s="7" t="s">
        <v>10</v>
      </c>
      <c r="D398" s="7" t="s">
        <v>17</v>
      </c>
      <c r="E398" s="7" t="s">
        <v>12</v>
      </c>
      <c r="F398" s="7" t="s">
        <v>13</v>
      </c>
      <c r="G398" s="7" t="s">
        <v>14</v>
      </c>
      <c r="H398" s="31" t="str">
        <f t="shared" si="13"/>
        <v>5 Tahun</v>
      </c>
      <c r="I398" s="8">
        <f t="shared" si="12"/>
        <v>20000000</v>
      </c>
      <c r="J398" s="9">
        <v>4</v>
      </c>
    </row>
    <row r="399" spans="1:10" x14ac:dyDescent="0.25">
      <c r="A399" s="10" t="s">
        <v>811</v>
      </c>
      <c r="B399" s="11" t="s">
        <v>812</v>
      </c>
      <c r="C399" s="11" t="s">
        <v>10</v>
      </c>
      <c r="D399" s="11" t="s">
        <v>29</v>
      </c>
      <c r="E399" s="11" t="s">
        <v>26</v>
      </c>
      <c r="F399" s="11" t="s">
        <v>13</v>
      </c>
      <c r="G399" s="11" t="s">
        <v>18</v>
      </c>
      <c r="H399" s="31" t="str">
        <f t="shared" si="13"/>
        <v xml:space="preserve">2 Tahun </v>
      </c>
      <c r="I399" s="12">
        <f t="shared" si="12"/>
        <v>15000000</v>
      </c>
      <c r="J399" s="13">
        <v>3</v>
      </c>
    </row>
    <row r="400" spans="1:10" x14ac:dyDescent="0.25">
      <c r="A400" s="6" t="s">
        <v>813</v>
      </c>
      <c r="B400" s="7" t="s">
        <v>814</v>
      </c>
      <c r="C400" s="7" t="s">
        <v>10</v>
      </c>
      <c r="D400" s="7" t="s">
        <v>25</v>
      </c>
      <c r="E400" s="7" t="s">
        <v>26</v>
      </c>
      <c r="F400" s="7" t="s">
        <v>22</v>
      </c>
      <c r="G400" s="7" t="s">
        <v>18</v>
      </c>
      <c r="H400" s="31" t="str">
        <f t="shared" si="13"/>
        <v xml:space="preserve">2 Tahun </v>
      </c>
      <c r="I400" s="8">
        <f t="shared" si="12"/>
        <v>15000000</v>
      </c>
      <c r="J400" s="9">
        <v>3</v>
      </c>
    </row>
    <row r="401" spans="1:10" x14ac:dyDescent="0.25">
      <c r="A401" s="10" t="s">
        <v>815</v>
      </c>
      <c r="B401" s="11" t="s">
        <v>816</v>
      </c>
      <c r="C401" s="11" t="s">
        <v>10</v>
      </c>
      <c r="D401" s="11" t="s">
        <v>29</v>
      </c>
      <c r="E401" s="11" t="s">
        <v>12</v>
      </c>
      <c r="F401" s="11" t="s">
        <v>13</v>
      </c>
      <c r="G401" s="11" t="s">
        <v>14</v>
      </c>
      <c r="H401" s="31" t="str">
        <f t="shared" si="13"/>
        <v>5 Tahun</v>
      </c>
      <c r="I401" s="12">
        <f t="shared" si="12"/>
        <v>20000000</v>
      </c>
      <c r="J401" s="13">
        <v>5</v>
      </c>
    </row>
    <row r="402" spans="1:10" x14ac:dyDescent="0.25">
      <c r="A402" s="6" t="s">
        <v>817</v>
      </c>
      <c r="B402" s="7" t="s">
        <v>818</v>
      </c>
      <c r="C402" s="7" t="s">
        <v>10</v>
      </c>
      <c r="D402" s="7" t="s">
        <v>21</v>
      </c>
      <c r="E402" s="7" t="s">
        <v>12</v>
      </c>
      <c r="F402" s="7" t="s">
        <v>22</v>
      </c>
      <c r="G402" s="7" t="s">
        <v>18</v>
      </c>
      <c r="H402" s="31" t="str">
        <f t="shared" si="13"/>
        <v>5 Tahun</v>
      </c>
      <c r="I402" s="8">
        <f t="shared" si="12"/>
        <v>20000000</v>
      </c>
      <c r="J402" s="9">
        <v>5</v>
      </c>
    </row>
    <row r="403" spans="1:10" x14ac:dyDescent="0.25">
      <c r="A403" s="10" t="s">
        <v>819</v>
      </c>
      <c r="B403" s="11" t="s">
        <v>820</v>
      </c>
      <c r="C403" s="11" t="s">
        <v>10</v>
      </c>
      <c r="D403" s="11" t="s">
        <v>21</v>
      </c>
      <c r="E403" s="11" t="s">
        <v>26</v>
      </c>
      <c r="F403" s="11" t="s">
        <v>13</v>
      </c>
      <c r="G403" s="11" t="s">
        <v>18</v>
      </c>
      <c r="H403" s="31" t="str">
        <f t="shared" si="13"/>
        <v xml:space="preserve">2 Tahun </v>
      </c>
      <c r="I403" s="12">
        <f t="shared" si="12"/>
        <v>15000000</v>
      </c>
      <c r="J403" s="13">
        <v>3</v>
      </c>
    </row>
    <row r="404" spans="1:10" x14ac:dyDescent="0.25">
      <c r="A404" s="6" t="s">
        <v>821</v>
      </c>
      <c r="B404" s="7" t="s">
        <v>822</v>
      </c>
      <c r="C404" s="7" t="s">
        <v>10</v>
      </c>
      <c r="D404" s="7" t="s">
        <v>11</v>
      </c>
      <c r="E404" s="7" t="s">
        <v>40</v>
      </c>
      <c r="F404" s="7" t="s">
        <v>13</v>
      </c>
      <c r="G404" s="7" t="s">
        <v>14</v>
      </c>
      <c r="H404" s="31" t="str">
        <f t="shared" si="13"/>
        <v>1 Tahun</v>
      </c>
      <c r="I404" s="8">
        <f t="shared" si="12"/>
        <v>7000000</v>
      </c>
      <c r="J404" s="9">
        <v>3</v>
      </c>
    </row>
    <row r="405" spans="1:10" x14ac:dyDescent="0.25">
      <c r="A405" s="10" t="s">
        <v>823</v>
      </c>
      <c r="B405" s="11" t="s">
        <v>824</v>
      </c>
      <c r="C405" s="11" t="s">
        <v>10</v>
      </c>
      <c r="D405" s="11" t="s">
        <v>21</v>
      </c>
      <c r="E405" s="11" t="s">
        <v>40</v>
      </c>
      <c r="F405" s="11" t="s">
        <v>13</v>
      </c>
      <c r="G405" s="11" t="s">
        <v>14</v>
      </c>
      <c r="H405" s="31" t="str">
        <f t="shared" si="13"/>
        <v>1 Tahun</v>
      </c>
      <c r="I405" s="12">
        <f t="shared" si="12"/>
        <v>7000000</v>
      </c>
      <c r="J405" s="13">
        <v>4</v>
      </c>
    </row>
    <row r="406" spans="1:10" x14ac:dyDescent="0.25">
      <c r="A406" s="6" t="s">
        <v>825</v>
      </c>
      <c r="B406" s="7" t="s">
        <v>826</v>
      </c>
      <c r="C406" s="7" t="s">
        <v>10</v>
      </c>
      <c r="D406" s="7" t="s">
        <v>11</v>
      </c>
      <c r="E406" s="7" t="s">
        <v>12</v>
      </c>
      <c r="F406" s="7" t="s">
        <v>22</v>
      </c>
      <c r="G406" s="7" t="s">
        <v>14</v>
      </c>
      <c r="H406" s="31" t="str">
        <f t="shared" si="13"/>
        <v>5 Tahun</v>
      </c>
      <c r="I406" s="8">
        <f t="shared" si="12"/>
        <v>20000000</v>
      </c>
      <c r="J406" s="9">
        <v>5</v>
      </c>
    </row>
    <row r="407" spans="1:10" x14ac:dyDescent="0.25">
      <c r="A407" s="10" t="s">
        <v>827</v>
      </c>
      <c r="B407" s="11" t="s">
        <v>828</v>
      </c>
      <c r="C407" s="11" t="s">
        <v>10</v>
      </c>
      <c r="D407" s="11" t="s">
        <v>11</v>
      </c>
      <c r="E407" s="11" t="s">
        <v>26</v>
      </c>
      <c r="F407" s="11" t="s">
        <v>13</v>
      </c>
      <c r="G407" s="11" t="s">
        <v>14</v>
      </c>
      <c r="H407" s="31" t="str">
        <f t="shared" si="13"/>
        <v xml:space="preserve">2 Tahun </v>
      </c>
      <c r="I407" s="12">
        <f t="shared" si="12"/>
        <v>15000000</v>
      </c>
      <c r="J407" s="13">
        <v>4</v>
      </c>
    </row>
    <row r="408" spans="1:10" x14ac:dyDescent="0.25">
      <c r="A408" s="6" t="s">
        <v>829</v>
      </c>
      <c r="B408" s="7" t="s">
        <v>830</v>
      </c>
      <c r="C408" s="7" t="s">
        <v>49</v>
      </c>
      <c r="D408" s="7" t="s">
        <v>11</v>
      </c>
      <c r="E408" s="7" t="s">
        <v>26</v>
      </c>
      <c r="F408" s="7" t="s">
        <v>22</v>
      </c>
      <c r="G408" s="7" t="s">
        <v>14</v>
      </c>
      <c r="H408" s="31" t="str">
        <f t="shared" si="13"/>
        <v xml:space="preserve">2 Tahun </v>
      </c>
      <c r="I408" s="8">
        <f t="shared" si="12"/>
        <v>15000000</v>
      </c>
      <c r="J408" s="9">
        <v>3</v>
      </c>
    </row>
    <row r="409" spans="1:10" x14ac:dyDescent="0.25">
      <c r="A409" s="10" t="s">
        <v>831</v>
      </c>
      <c r="B409" s="11" t="s">
        <v>832</v>
      </c>
      <c r="C409" s="11" t="s">
        <v>10</v>
      </c>
      <c r="D409" s="11" t="s">
        <v>25</v>
      </c>
      <c r="E409" s="11" t="s">
        <v>26</v>
      </c>
      <c r="F409" s="11" t="s">
        <v>22</v>
      </c>
      <c r="G409" s="11" t="s">
        <v>14</v>
      </c>
      <c r="H409" s="31" t="str">
        <f t="shared" si="13"/>
        <v xml:space="preserve">2 Tahun </v>
      </c>
      <c r="I409" s="12">
        <f t="shared" si="12"/>
        <v>15000000</v>
      </c>
      <c r="J409" s="13">
        <v>4</v>
      </c>
    </row>
    <row r="410" spans="1:10" x14ac:dyDescent="0.25">
      <c r="A410" s="6" t="s">
        <v>833</v>
      </c>
      <c r="B410" s="7" t="s">
        <v>834</v>
      </c>
      <c r="C410" s="7" t="s">
        <v>10</v>
      </c>
      <c r="D410" s="7" t="s">
        <v>21</v>
      </c>
      <c r="E410" s="7" t="s">
        <v>12</v>
      </c>
      <c r="F410" s="7" t="s">
        <v>13</v>
      </c>
      <c r="G410" s="7" t="s">
        <v>18</v>
      </c>
      <c r="H410" s="31" t="str">
        <f t="shared" si="13"/>
        <v>5 Tahun</v>
      </c>
      <c r="I410" s="8">
        <f t="shared" si="12"/>
        <v>20000000</v>
      </c>
      <c r="J410" s="9">
        <v>3</v>
      </c>
    </row>
    <row r="411" spans="1:10" x14ac:dyDescent="0.25">
      <c r="A411" s="10" t="s">
        <v>835</v>
      </c>
      <c r="B411" s="11" t="s">
        <v>836</v>
      </c>
      <c r="C411" s="11" t="s">
        <v>10</v>
      </c>
      <c r="D411" s="11" t="s">
        <v>17</v>
      </c>
      <c r="E411" s="11" t="s">
        <v>26</v>
      </c>
      <c r="F411" s="11" t="s">
        <v>22</v>
      </c>
      <c r="G411" s="11" t="s">
        <v>14</v>
      </c>
      <c r="H411" s="31" t="str">
        <f t="shared" si="13"/>
        <v xml:space="preserve">2 Tahun </v>
      </c>
      <c r="I411" s="12">
        <f t="shared" si="12"/>
        <v>15000000</v>
      </c>
      <c r="J411" s="13">
        <v>4</v>
      </c>
    </row>
    <row r="412" spans="1:10" x14ac:dyDescent="0.25">
      <c r="A412" s="6" t="s">
        <v>837</v>
      </c>
      <c r="B412" s="7" t="s">
        <v>838</v>
      </c>
      <c r="C412" s="7" t="s">
        <v>10</v>
      </c>
      <c r="D412" s="7" t="s">
        <v>17</v>
      </c>
      <c r="E412" s="7" t="s">
        <v>40</v>
      </c>
      <c r="F412" s="7" t="s">
        <v>13</v>
      </c>
      <c r="G412" s="7" t="s">
        <v>14</v>
      </c>
      <c r="H412" s="31" t="str">
        <f t="shared" si="13"/>
        <v>1 Tahun</v>
      </c>
      <c r="I412" s="8">
        <f t="shared" si="12"/>
        <v>7000000</v>
      </c>
      <c r="J412" s="9">
        <v>3</v>
      </c>
    </row>
    <row r="413" spans="1:10" x14ac:dyDescent="0.25">
      <c r="A413" s="10" t="s">
        <v>839</v>
      </c>
      <c r="B413" s="11" t="s">
        <v>840</v>
      </c>
      <c r="C413" s="11" t="s">
        <v>10</v>
      </c>
      <c r="D413" s="11" t="s">
        <v>17</v>
      </c>
      <c r="E413" s="11" t="s">
        <v>12</v>
      </c>
      <c r="F413" s="11" t="s">
        <v>13</v>
      </c>
      <c r="G413" s="11" t="s">
        <v>14</v>
      </c>
      <c r="H413" s="31" t="str">
        <f t="shared" si="13"/>
        <v>5 Tahun</v>
      </c>
      <c r="I413" s="12">
        <f t="shared" si="12"/>
        <v>20000000</v>
      </c>
      <c r="J413" s="13">
        <v>5</v>
      </c>
    </row>
    <row r="414" spans="1:10" x14ac:dyDescent="0.25">
      <c r="A414" s="6" t="s">
        <v>841</v>
      </c>
      <c r="B414" s="7" t="s">
        <v>842</v>
      </c>
      <c r="C414" s="7" t="s">
        <v>10</v>
      </c>
      <c r="D414" s="7" t="s">
        <v>29</v>
      </c>
      <c r="E414" s="7" t="s">
        <v>26</v>
      </c>
      <c r="F414" s="7" t="s">
        <v>13</v>
      </c>
      <c r="G414" s="7" t="s">
        <v>14</v>
      </c>
      <c r="H414" s="31" t="str">
        <f t="shared" si="13"/>
        <v xml:space="preserve">2 Tahun </v>
      </c>
      <c r="I414" s="8">
        <f t="shared" si="12"/>
        <v>15000000</v>
      </c>
      <c r="J414" s="9">
        <v>5</v>
      </c>
    </row>
    <row r="415" spans="1:10" x14ac:dyDescent="0.25">
      <c r="A415" s="10" t="s">
        <v>843</v>
      </c>
      <c r="B415" s="11" t="s">
        <v>844</v>
      </c>
      <c r="C415" s="11" t="s">
        <v>10</v>
      </c>
      <c r="D415" s="11" t="s">
        <v>17</v>
      </c>
      <c r="E415" s="11" t="s">
        <v>40</v>
      </c>
      <c r="F415" s="11" t="s">
        <v>22</v>
      </c>
      <c r="G415" s="11" t="s">
        <v>14</v>
      </c>
      <c r="H415" s="31" t="str">
        <f t="shared" si="13"/>
        <v>1 Tahun</v>
      </c>
      <c r="I415" s="12">
        <f t="shared" si="12"/>
        <v>7000000</v>
      </c>
      <c r="J415" s="13">
        <v>4</v>
      </c>
    </row>
    <row r="416" spans="1:10" x14ac:dyDescent="0.25">
      <c r="A416" s="6" t="s">
        <v>845</v>
      </c>
      <c r="B416" s="7" t="s">
        <v>846</v>
      </c>
      <c r="C416" s="7" t="s">
        <v>10</v>
      </c>
      <c r="D416" s="7" t="s">
        <v>21</v>
      </c>
      <c r="E416" s="7" t="s">
        <v>26</v>
      </c>
      <c r="F416" s="7" t="s">
        <v>13</v>
      </c>
      <c r="G416" s="7" t="s">
        <v>14</v>
      </c>
      <c r="H416" s="31" t="str">
        <f t="shared" si="13"/>
        <v xml:space="preserve">2 Tahun </v>
      </c>
      <c r="I416" s="8">
        <f t="shared" si="12"/>
        <v>15000000</v>
      </c>
      <c r="J416" s="9">
        <v>4</v>
      </c>
    </row>
    <row r="417" spans="1:10" x14ac:dyDescent="0.25">
      <c r="A417" s="10" t="s">
        <v>847</v>
      </c>
      <c r="B417" s="11" t="s">
        <v>848</v>
      </c>
      <c r="C417" s="11" t="s">
        <v>49</v>
      </c>
      <c r="D417" s="11" t="s">
        <v>21</v>
      </c>
      <c r="E417" s="11" t="s">
        <v>26</v>
      </c>
      <c r="F417" s="11" t="s">
        <v>22</v>
      </c>
      <c r="G417" s="11" t="s">
        <v>14</v>
      </c>
      <c r="H417" s="31" t="str">
        <f t="shared" si="13"/>
        <v xml:space="preserve">2 Tahun </v>
      </c>
      <c r="I417" s="12">
        <f t="shared" si="12"/>
        <v>15000000</v>
      </c>
      <c r="J417" s="13">
        <v>4</v>
      </c>
    </row>
    <row r="418" spans="1:10" x14ac:dyDescent="0.25">
      <c r="A418" s="6" t="s">
        <v>849</v>
      </c>
      <c r="B418" s="7" t="s">
        <v>850</v>
      </c>
      <c r="C418" s="7" t="s">
        <v>10</v>
      </c>
      <c r="D418" s="7" t="s">
        <v>25</v>
      </c>
      <c r="E418" s="7" t="s">
        <v>40</v>
      </c>
      <c r="F418" s="7" t="s">
        <v>22</v>
      </c>
      <c r="G418" s="7" t="s">
        <v>18</v>
      </c>
      <c r="H418" s="31" t="str">
        <f t="shared" si="13"/>
        <v>1 Tahun</v>
      </c>
      <c r="I418" s="8">
        <f t="shared" si="12"/>
        <v>7000000</v>
      </c>
      <c r="J418" s="9">
        <v>5</v>
      </c>
    </row>
    <row r="419" spans="1:10" x14ac:dyDescent="0.25">
      <c r="A419" s="10" t="s">
        <v>851</v>
      </c>
      <c r="B419" s="11" t="s">
        <v>852</v>
      </c>
      <c r="C419" s="11" t="s">
        <v>10</v>
      </c>
      <c r="D419" s="11" t="s">
        <v>25</v>
      </c>
      <c r="E419" s="11" t="s">
        <v>26</v>
      </c>
      <c r="F419" s="11" t="s">
        <v>22</v>
      </c>
      <c r="G419" s="11" t="s">
        <v>14</v>
      </c>
      <c r="H419" s="31" t="str">
        <f t="shared" si="13"/>
        <v xml:space="preserve">2 Tahun </v>
      </c>
      <c r="I419" s="12">
        <f t="shared" si="12"/>
        <v>15000000</v>
      </c>
      <c r="J419" s="13">
        <v>5</v>
      </c>
    </row>
    <row r="420" spans="1:10" x14ac:dyDescent="0.25">
      <c r="A420" s="6" t="s">
        <v>853</v>
      </c>
      <c r="B420" s="7" t="s">
        <v>854</v>
      </c>
      <c r="C420" s="7" t="s">
        <v>10</v>
      </c>
      <c r="D420" s="7" t="s">
        <v>11</v>
      </c>
      <c r="E420" s="7" t="s">
        <v>26</v>
      </c>
      <c r="F420" s="7" t="s">
        <v>22</v>
      </c>
      <c r="G420" s="7" t="s">
        <v>14</v>
      </c>
      <c r="H420" s="31" t="str">
        <f t="shared" si="13"/>
        <v xml:space="preserve">2 Tahun </v>
      </c>
      <c r="I420" s="8">
        <f t="shared" si="12"/>
        <v>15000000</v>
      </c>
      <c r="J420" s="9">
        <v>4</v>
      </c>
    </row>
    <row r="421" spans="1:10" x14ac:dyDescent="0.25">
      <c r="A421" s="10" t="s">
        <v>855</v>
      </c>
      <c r="B421" s="11" t="s">
        <v>856</v>
      </c>
      <c r="C421" s="11" t="s">
        <v>10</v>
      </c>
      <c r="D421" s="11" t="s">
        <v>17</v>
      </c>
      <c r="E421" s="11" t="s">
        <v>26</v>
      </c>
      <c r="F421" s="11" t="s">
        <v>13</v>
      </c>
      <c r="G421" s="11" t="s">
        <v>18</v>
      </c>
      <c r="H421" s="31" t="str">
        <f t="shared" si="13"/>
        <v xml:space="preserve">2 Tahun </v>
      </c>
      <c r="I421" s="12">
        <f t="shared" si="12"/>
        <v>15000000</v>
      </c>
      <c r="J421" s="13">
        <v>4</v>
      </c>
    </row>
    <row r="422" spans="1:10" x14ac:dyDescent="0.25">
      <c r="A422" s="6" t="s">
        <v>857</v>
      </c>
      <c r="B422" s="7" t="s">
        <v>858</v>
      </c>
      <c r="C422" s="7" t="s">
        <v>10</v>
      </c>
      <c r="D422" s="7" t="s">
        <v>29</v>
      </c>
      <c r="E422" s="7" t="s">
        <v>40</v>
      </c>
      <c r="F422" s="7" t="s">
        <v>22</v>
      </c>
      <c r="G422" s="7" t="s">
        <v>14</v>
      </c>
      <c r="H422" s="31" t="str">
        <f t="shared" si="13"/>
        <v>1 Tahun</v>
      </c>
      <c r="I422" s="8">
        <f t="shared" si="12"/>
        <v>7000000</v>
      </c>
      <c r="J422" s="9">
        <v>5</v>
      </c>
    </row>
    <row r="423" spans="1:10" x14ac:dyDescent="0.25">
      <c r="A423" s="10" t="s">
        <v>859</v>
      </c>
      <c r="B423" s="11" t="s">
        <v>860</v>
      </c>
      <c r="C423" s="11" t="s">
        <v>10</v>
      </c>
      <c r="D423" s="11" t="s">
        <v>29</v>
      </c>
      <c r="E423" s="11" t="s">
        <v>12</v>
      </c>
      <c r="F423" s="11" t="s">
        <v>22</v>
      </c>
      <c r="G423" s="11" t="s">
        <v>14</v>
      </c>
      <c r="H423" s="31" t="str">
        <f t="shared" si="13"/>
        <v>5 Tahun</v>
      </c>
      <c r="I423" s="12">
        <f t="shared" si="12"/>
        <v>20000000</v>
      </c>
      <c r="J423" s="13">
        <v>3</v>
      </c>
    </row>
    <row r="424" spans="1:10" x14ac:dyDescent="0.25">
      <c r="A424" s="6" t="s">
        <v>861</v>
      </c>
      <c r="B424" s="7" t="s">
        <v>862</v>
      </c>
      <c r="C424" s="7" t="s">
        <v>10</v>
      </c>
      <c r="D424" s="7" t="s">
        <v>29</v>
      </c>
      <c r="E424" s="7" t="s">
        <v>40</v>
      </c>
      <c r="F424" s="7" t="s">
        <v>22</v>
      </c>
      <c r="G424" s="7" t="s">
        <v>14</v>
      </c>
      <c r="H424" s="31" t="str">
        <f t="shared" si="13"/>
        <v>1 Tahun</v>
      </c>
      <c r="I424" s="8">
        <f t="shared" si="12"/>
        <v>7000000</v>
      </c>
      <c r="J424" s="9">
        <v>5</v>
      </c>
    </row>
    <row r="425" spans="1:10" x14ac:dyDescent="0.25">
      <c r="A425" s="10" t="s">
        <v>863</v>
      </c>
      <c r="B425" s="11" t="s">
        <v>864</v>
      </c>
      <c r="C425" s="11" t="s">
        <v>49</v>
      </c>
      <c r="D425" s="11" t="s">
        <v>29</v>
      </c>
      <c r="E425" s="11" t="s">
        <v>40</v>
      </c>
      <c r="F425" s="11" t="s">
        <v>13</v>
      </c>
      <c r="G425" s="11" t="s">
        <v>18</v>
      </c>
      <c r="H425" s="31" t="str">
        <f t="shared" si="13"/>
        <v>1 Tahun</v>
      </c>
      <c r="I425" s="12">
        <f t="shared" si="12"/>
        <v>7000000</v>
      </c>
      <c r="J425" s="13">
        <v>3</v>
      </c>
    </row>
    <row r="426" spans="1:10" x14ac:dyDescent="0.25">
      <c r="A426" s="6" t="s">
        <v>865</v>
      </c>
      <c r="B426" s="7" t="s">
        <v>866</v>
      </c>
      <c r="C426" s="7" t="s">
        <v>49</v>
      </c>
      <c r="D426" s="7" t="s">
        <v>25</v>
      </c>
      <c r="E426" s="7" t="s">
        <v>26</v>
      </c>
      <c r="F426" s="7" t="s">
        <v>22</v>
      </c>
      <c r="G426" s="7" t="s">
        <v>14</v>
      </c>
      <c r="H426" s="31" t="str">
        <f t="shared" si="13"/>
        <v xml:space="preserve">2 Tahun </v>
      </c>
      <c r="I426" s="8">
        <f t="shared" si="12"/>
        <v>15000000</v>
      </c>
      <c r="J426" s="9">
        <v>3</v>
      </c>
    </row>
    <row r="427" spans="1:10" x14ac:dyDescent="0.25">
      <c r="A427" s="10" t="s">
        <v>867</v>
      </c>
      <c r="B427" s="11" t="s">
        <v>868</v>
      </c>
      <c r="C427" s="11" t="s">
        <v>49</v>
      </c>
      <c r="D427" s="11" t="s">
        <v>29</v>
      </c>
      <c r="E427" s="11" t="s">
        <v>26</v>
      </c>
      <c r="F427" s="11" t="s">
        <v>13</v>
      </c>
      <c r="G427" s="11" t="s">
        <v>18</v>
      </c>
      <c r="H427" s="31" t="str">
        <f t="shared" si="13"/>
        <v xml:space="preserve">2 Tahun </v>
      </c>
      <c r="I427" s="12">
        <f t="shared" si="12"/>
        <v>15000000</v>
      </c>
      <c r="J427" s="13">
        <v>3</v>
      </c>
    </row>
    <row r="428" spans="1:10" x14ac:dyDescent="0.25">
      <c r="A428" s="6" t="s">
        <v>869</v>
      </c>
      <c r="B428" s="7" t="s">
        <v>870</v>
      </c>
      <c r="C428" s="7" t="s">
        <v>10</v>
      </c>
      <c r="D428" s="7" t="s">
        <v>29</v>
      </c>
      <c r="E428" s="7" t="s">
        <v>40</v>
      </c>
      <c r="F428" s="7" t="s">
        <v>22</v>
      </c>
      <c r="G428" s="7" t="s">
        <v>18</v>
      </c>
      <c r="H428" s="31" t="str">
        <f t="shared" si="13"/>
        <v>1 Tahun</v>
      </c>
      <c r="I428" s="8">
        <f t="shared" si="12"/>
        <v>7000000</v>
      </c>
      <c r="J428" s="9">
        <v>5</v>
      </c>
    </row>
    <row r="429" spans="1:10" x14ac:dyDescent="0.25">
      <c r="A429" s="10" t="s">
        <v>871</v>
      </c>
      <c r="B429" s="11" t="s">
        <v>872</v>
      </c>
      <c r="C429" s="11" t="s">
        <v>10</v>
      </c>
      <c r="D429" s="11" t="s">
        <v>25</v>
      </c>
      <c r="E429" s="11" t="s">
        <v>26</v>
      </c>
      <c r="F429" s="11" t="s">
        <v>13</v>
      </c>
      <c r="G429" s="11" t="s">
        <v>18</v>
      </c>
      <c r="H429" s="31" t="str">
        <f t="shared" si="13"/>
        <v xml:space="preserve">2 Tahun </v>
      </c>
      <c r="I429" s="12">
        <f t="shared" si="12"/>
        <v>15000000</v>
      </c>
      <c r="J429" s="13">
        <v>3</v>
      </c>
    </row>
    <row r="430" spans="1:10" x14ac:dyDescent="0.25">
      <c r="A430" s="6" t="s">
        <v>873</v>
      </c>
      <c r="B430" s="7" t="s">
        <v>874</v>
      </c>
      <c r="C430" s="7" t="s">
        <v>10</v>
      </c>
      <c r="D430" s="7" t="s">
        <v>25</v>
      </c>
      <c r="E430" s="7" t="s">
        <v>12</v>
      </c>
      <c r="F430" s="7" t="s">
        <v>22</v>
      </c>
      <c r="G430" s="7" t="s">
        <v>14</v>
      </c>
      <c r="H430" s="31" t="str">
        <f t="shared" si="13"/>
        <v>5 Tahun</v>
      </c>
      <c r="I430" s="8">
        <f t="shared" si="12"/>
        <v>20000000</v>
      </c>
      <c r="J430" s="9">
        <v>3</v>
      </c>
    </row>
    <row r="431" spans="1:10" x14ac:dyDescent="0.25">
      <c r="A431" s="10" t="s">
        <v>875</v>
      </c>
      <c r="B431" s="11" t="s">
        <v>876</v>
      </c>
      <c r="C431" s="11" t="s">
        <v>10</v>
      </c>
      <c r="D431" s="11" t="s">
        <v>25</v>
      </c>
      <c r="E431" s="11" t="s">
        <v>26</v>
      </c>
      <c r="F431" s="11" t="s">
        <v>13</v>
      </c>
      <c r="G431" s="11" t="s">
        <v>18</v>
      </c>
      <c r="H431" s="31" t="str">
        <f t="shared" si="13"/>
        <v xml:space="preserve">2 Tahun </v>
      </c>
      <c r="I431" s="12">
        <f t="shared" si="12"/>
        <v>15000000</v>
      </c>
      <c r="J431" s="13">
        <v>5</v>
      </c>
    </row>
    <row r="432" spans="1:10" x14ac:dyDescent="0.25">
      <c r="A432" s="6" t="s">
        <v>877</v>
      </c>
      <c r="B432" s="7" t="s">
        <v>878</v>
      </c>
      <c r="C432" s="7" t="s">
        <v>10</v>
      </c>
      <c r="D432" s="7" t="s">
        <v>25</v>
      </c>
      <c r="E432" s="7" t="s">
        <v>26</v>
      </c>
      <c r="F432" s="7" t="s">
        <v>22</v>
      </c>
      <c r="G432" s="7" t="s">
        <v>18</v>
      </c>
      <c r="H432" s="31" t="str">
        <f t="shared" si="13"/>
        <v xml:space="preserve">2 Tahun </v>
      </c>
      <c r="I432" s="8">
        <f t="shared" si="12"/>
        <v>15000000</v>
      </c>
      <c r="J432" s="9">
        <v>4</v>
      </c>
    </row>
    <row r="433" spans="1:10" x14ac:dyDescent="0.25">
      <c r="A433" s="10" t="s">
        <v>879</v>
      </c>
      <c r="B433" s="11" t="s">
        <v>880</v>
      </c>
      <c r="C433" s="11" t="s">
        <v>10</v>
      </c>
      <c r="D433" s="11" t="s">
        <v>11</v>
      </c>
      <c r="E433" s="11" t="s">
        <v>12</v>
      </c>
      <c r="F433" s="11" t="s">
        <v>13</v>
      </c>
      <c r="G433" s="11" t="s">
        <v>14</v>
      </c>
      <c r="H433" s="31" t="str">
        <f t="shared" si="13"/>
        <v>5 Tahun</v>
      </c>
      <c r="I433" s="12">
        <f t="shared" si="12"/>
        <v>20000000</v>
      </c>
      <c r="J433" s="13">
        <v>5</v>
      </c>
    </row>
    <row r="434" spans="1:10" x14ac:dyDescent="0.25">
      <c r="A434" s="6" t="s">
        <v>881</v>
      </c>
      <c r="B434" s="7" t="s">
        <v>882</v>
      </c>
      <c r="C434" s="7" t="s">
        <v>10</v>
      </c>
      <c r="D434" s="7" t="s">
        <v>21</v>
      </c>
      <c r="E434" s="7" t="s">
        <v>40</v>
      </c>
      <c r="F434" s="7" t="s">
        <v>13</v>
      </c>
      <c r="G434" s="7" t="s">
        <v>14</v>
      </c>
      <c r="H434" s="31" t="str">
        <f t="shared" si="13"/>
        <v>1 Tahun</v>
      </c>
      <c r="I434" s="8">
        <f t="shared" si="12"/>
        <v>7000000</v>
      </c>
      <c r="J434" s="9">
        <v>5</v>
      </c>
    </row>
    <row r="435" spans="1:10" x14ac:dyDescent="0.25">
      <c r="A435" s="10" t="s">
        <v>883</v>
      </c>
      <c r="B435" s="11" t="s">
        <v>884</v>
      </c>
      <c r="C435" s="11" t="s">
        <v>10</v>
      </c>
      <c r="D435" s="11" t="s">
        <v>29</v>
      </c>
      <c r="E435" s="11" t="s">
        <v>40</v>
      </c>
      <c r="F435" s="11" t="s">
        <v>22</v>
      </c>
      <c r="G435" s="11" t="s">
        <v>18</v>
      </c>
      <c r="H435" s="31" t="str">
        <f t="shared" si="13"/>
        <v>1 Tahun</v>
      </c>
      <c r="I435" s="12">
        <f t="shared" si="12"/>
        <v>7000000</v>
      </c>
      <c r="J435" s="13">
        <v>5</v>
      </c>
    </row>
    <row r="436" spans="1:10" x14ac:dyDescent="0.25">
      <c r="A436" s="6" t="s">
        <v>885</v>
      </c>
      <c r="B436" s="7" t="s">
        <v>886</v>
      </c>
      <c r="C436" s="7" t="s">
        <v>10</v>
      </c>
      <c r="D436" s="7" t="s">
        <v>29</v>
      </c>
      <c r="E436" s="7" t="s">
        <v>40</v>
      </c>
      <c r="F436" s="7" t="s">
        <v>22</v>
      </c>
      <c r="G436" s="7" t="s">
        <v>18</v>
      </c>
      <c r="H436" s="31" t="str">
        <f t="shared" si="13"/>
        <v>1 Tahun</v>
      </c>
      <c r="I436" s="8">
        <f t="shared" si="12"/>
        <v>7000000</v>
      </c>
      <c r="J436" s="9">
        <v>4</v>
      </c>
    </row>
    <row r="437" spans="1:10" x14ac:dyDescent="0.25">
      <c r="A437" s="10" t="s">
        <v>887</v>
      </c>
      <c r="B437" s="11" t="s">
        <v>888</v>
      </c>
      <c r="C437" s="11" t="s">
        <v>10</v>
      </c>
      <c r="D437" s="11" t="s">
        <v>17</v>
      </c>
      <c r="E437" s="11" t="s">
        <v>40</v>
      </c>
      <c r="F437" s="11" t="s">
        <v>13</v>
      </c>
      <c r="G437" s="11" t="s">
        <v>18</v>
      </c>
      <c r="H437" s="31" t="str">
        <f t="shared" si="13"/>
        <v>1 Tahun</v>
      </c>
      <c r="I437" s="12">
        <f t="shared" si="12"/>
        <v>7000000</v>
      </c>
      <c r="J437" s="13">
        <v>3</v>
      </c>
    </row>
    <row r="438" spans="1:10" x14ac:dyDescent="0.25">
      <c r="A438" s="6" t="s">
        <v>889</v>
      </c>
      <c r="B438" s="7" t="s">
        <v>890</v>
      </c>
      <c r="C438" s="7" t="s">
        <v>10</v>
      </c>
      <c r="D438" s="7" t="s">
        <v>11</v>
      </c>
      <c r="E438" s="7" t="s">
        <v>12</v>
      </c>
      <c r="F438" s="7" t="s">
        <v>13</v>
      </c>
      <c r="G438" s="7" t="s">
        <v>18</v>
      </c>
      <c r="H438" s="31" t="str">
        <f t="shared" si="13"/>
        <v>5 Tahun</v>
      </c>
      <c r="I438" s="8">
        <f t="shared" si="12"/>
        <v>20000000</v>
      </c>
      <c r="J438" s="9">
        <v>4</v>
      </c>
    </row>
    <row r="439" spans="1:10" x14ac:dyDescent="0.25">
      <c r="A439" s="10" t="s">
        <v>891</v>
      </c>
      <c r="B439" s="11" t="s">
        <v>892</v>
      </c>
      <c r="C439" s="11" t="s">
        <v>10</v>
      </c>
      <c r="D439" s="11" t="s">
        <v>25</v>
      </c>
      <c r="E439" s="11" t="s">
        <v>40</v>
      </c>
      <c r="F439" s="11" t="s">
        <v>13</v>
      </c>
      <c r="G439" s="11" t="s">
        <v>14</v>
      </c>
      <c r="H439" s="31" t="str">
        <f t="shared" si="13"/>
        <v>1 Tahun</v>
      </c>
      <c r="I439" s="12">
        <f t="shared" si="12"/>
        <v>7000000</v>
      </c>
      <c r="J439" s="13">
        <v>3</v>
      </c>
    </row>
    <row r="440" spans="1:10" x14ac:dyDescent="0.25">
      <c r="A440" s="6" t="s">
        <v>893</v>
      </c>
      <c r="B440" s="7" t="s">
        <v>894</v>
      </c>
      <c r="C440" s="7" t="s">
        <v>10</v>
      </c>
      <c r="D440" s="7" t="s">
        <v>25</v>
      </c>
      <c r="E440" s="7" t="s">
        <v>40</v>
      </c>
      <c r="F440" s="7" t="s">
        <v>22</v>
      </c>
      <c r="G440" s="7" t="s">
        <v>18</v>
      </c>
      <c r="H440" s="31" t="str">
        <f t="shared" si="13"/>
        <v>1 Tahun</v>
      </c>
      <c r="I440" s="8">
        <f t="shared" si="12"/>
        <v>7000000</v>
      </c>
      <c r="J440" s="9">
        <v>3</v>
      </c>
    </row>
    <row r="441" spans="1:10" x14ac:dyDescent="0.25">
      <c r="A441" s="10" t="s">
        <v>895</v>
      </c>
      <c r="B441" s="11" t="s">
        <v>896</v>
      </c>
      <c r="C441" s="11" t="s">
        <v>10</v>
      </c>
      <c r="D441" s="11" t="s">
        <v>11</v>
      </c>
      <c r="E441" s="11" t="s">
        <v>40</v>
      </c>
      <c r="F441" s="11" t="s">
        <v>22</v>
      </c>
      <c r="G441" s="11" t="s">
        <v>18</v>
      </c>
      <c r="H441" s="31" t="str">
        <f t="shared" si="13"/>
        <v>1 Tahun</v>
      </c>
      <c r="I441" s="12">
        <f t="shared" si="12"/>
        <v>7000000</v>
      </c>
      <c r="J441" s="13">
        <v>3</v>
      </c>
    </row>
    <row r="442" spans="1:10" x14ac:dyDescent="0.25">
      <c r="A442" s="6" t="s">
        <v>897</v>
      </c>
      <c r="B442" s="7" t="s">
        <v>898</v>
      </c>
      <c r="C442" s="7" t="s">
        <v>49</v>
      </c>
      <c r="D442" s="7" t="s">
        <v>21</v>
      </c>
      <c r="E442" s="7" t="s">
        <v>12</v>
      </c>
      <c r="F442" s="7" t="s">
        <v>13</v>
      </c>
      <c r="G442" s="7" t="s">
        <v>14</v>
      </c>
      <c r="H442" s="31" t="str">
        <f t="shared" si="13"/>
        <v>5 Tahun</v>
      </c>
      <c r="I442" s="8">
        <f t="shared" si="12"/>
        <v>20000000</v>
      </c>
      <c r="J442" s="9">
        <v>4</v>
      </c>
    </row>
    <row r="443" spans="1:10" x14ac:dyDescent="0.25">
      <c r="A443" s="10" t="s">
        <v>899</v>
      </c>
      <c r="B443" s="11" t="s">
        <v>900</v>
      </c>
      <c r="C443" s="11" t="s">
        <v>10</v>
      </c>
      <c r="D443" s="11" t="s">
        <v>29</v>
      </c>
      <c r="E443" s="11" t="s">
        <v>12</v>
      </c>
      <c r="F443" s="11" t="s">
        <v>13</v>
      </c>
      <c r="G443" s="11" t="s">
        <v>14</v>
      </c>
      <c r="H443" s="31" t="str">
        <f t="shared" si="13"/>
        <v>5 Tahun</v>
      </c>
      <c r="I443" s="12">
        <f t="shared" si="12"/>
        <v>20000000</v>
      </c>
      <c r="J443" s="13">
        <v>4</v>
      </c>
    </row>
    <row r="444" spans="1:10" x14ac:dyDescent="0.25">
      <c r="A444" s="6" t="s">
        <v>901</v>
      </c>
      <c r="B444" s="7" t="s">
        <v>902</v>
      </c>
      <c r="C444" s="7" t="s">
        <v>49</v>
      </c>
      <c r="D444" s="7" t="s">
        <v>29</v>
      </c>
      <c r="E444" s="7" t="s">
        <v>12</v>
      </c>
      <c r="F444" s="7" t="s">
        <v>22</v>
      </c>
      <c r="G444" s="7" t="s">
        <v>18</v>
      </c>
      <c r="H444" s="31" t="str">
        <f t="shared" si="13"/>
        <v>5 Tahun</v>
      </c>
      <c r="I444" s="8">
        <f t="shared" si="12"/>
        <v>20000000</v>
      </c>
      <c r="J444" s="9">
        <v>3</v>
      </c>
    </row>
    <row r="445" spans="1:10" x14ac:dyDescent="0.25">
      <c r="A445" s="10" t="s">
        <v>903</v>
      </c>
      <c r="B445" s="11" t="s">
        <v>904</v>
      </c>
      <c r="C445" s="11" t="s">
        <v>49</v>
      </c>
      <c r="D445" s="11" t="s">
        <v>11</v>
      </c>
      <c r="E445" s="11" t="s">
        <v>26</v>
      </c>
      <c r="F445" s="11" t="s">
        <v>22</v>
      </c>
      <c r="G445" s="11" t="s">
        <v>14</v>
      </c>
      <c r="H445" s="31" t="str">
        <f t="shared" si="13"/>
        <v xml:space="preserve">2 Tahun </v>
      </c>
      <c r="I445" s="12">
        <f t="shared" si="12"/>
        <v>15000000</v>
      </c>
      <c r="J445" s="13">
        <v>4</v>
      </c>
    </row>
    <row r="446" spans="1:10" x14ac:dyDescent="0.25">
      <c r="A446" s="6" t="s">
        <v>905</v>
      </c>
      <c r="B446" s="7" t="s">
        <v>906</v>
      </c>
      <c r="C446" s="7" t="s">
        <v>49</v>
      </c>
      <c r="D446" s="7" t="s">
        <v>25</v>
      </c>
      <c r="E446" s="7" t="s">
        <v>40</v>
      </c>
      <c r="F446" s="7" t="s">
        <v>13</v>
      </c>
      <c r="G446" s="7" t="s">
        <v>18</v>
      </c>
      <c r="H446" s="31" t="str">
        <f t="shared" si="13"/>
        <v>1 Tahun</v>
      </c>
      <c r="I446" s="8">
        <f t="shared" si="12"/>
        <v>7000000</v>
      </c>
      <c r="J446" s="9">
        <v>3</v>
      </c>
    </row>
    <row r="447" spans="1:10" x14ac:dyDescent="0.25">
      <c r="A447" s="10" t="s">
        <v>907</v>
      </c>
      <c r="B447" s="11" t="s">
        <v>908</v>
      </c>
      <c r="C447" s="11" t="s">
        <v>10</v>
      </c>
      <c r="D447" s="11" t="s">
        <v>17</v>
      </c>
      <c r="E447" s="11" t="s">
        <v>12</v>
      </c>
      <c r="F447" s="11" t="s">
        <v>13</v>
      </c>
      <c r="G447" s="11" t="s">
        <v>14</v>
      </c>
      <c r="H447" s="31" t="str">
        <f t="shared" si="13"/>
        <v>5 Tahun</v>
      </c>
      <c r="I447" s="12">
        <f t="shared" si="12"/>
        <v>20000000</v>
      </c>
      <c r="J447" s="13">
        <v>3</v>
      </c>
    </row>
    <row r="448" spans="1:10" x14ac:dyDescent="0.25">
      <c r="A448" s="6" t="s">
        <v>909</v>
      </c>
      <c r="B448" s="7" t="s">
        <v>910</v>
      </c>
      <c r="C448" s="7" t="s">
        <v>49</v>
      </c>
      <c r="D448" s="7" t="s">
        <v>25</v>
      </c>
      <c r="E448" s="7" t="s">
        <v>12</v>
      </c>
      <c r="F448" s="7" t="s">
        <v>22</v>
      </c>
      <c r="G448" s="7" t="s">
        <v>18</v>
      </c>
      <c r="H448" s="31" t="str">
        <f t="shared" si="13"/>
        <v>5 Tahun</v>
      </c>
      <c r="I448" s="8">
        <f t="shared" si="12"/>
        <v>20000000</v>
      </c>
      <c r="J448" s="9">
        <v>3</v>
      </c>
    </row>
    <row r="449" spans="1:10" x14ac:dyDescent="0.25">
      <c r="A449" s="10" t="s">
        <v>911</v>
      </c>
      <c r="B449" s="11" t="s">
        <v>912</v>
      </c>
      <c r="C449" s="11" t="s">
        <v>10</v>
      </c>
      <c r="D449" s="11" t="s">
        <v>25</v>
      </c>
      <c r="E449" s="11" t="s">
        <v>12</v>
      </c>
      <c r="F449" s="11" t="s">
        <v>13</v>
      </c>
      <c r="G449" s="11" t="s">
        <v>18</v>
      </c>
      <c r="H449" s="31" t="str">
        <f t="shared" si="13"/>
        <v>5 Tahun</v>
      </c>
      <c r="I449" s="12">
        <f t="shared" si="12"/>
        <v>20000000</v>
      </c>
      <c r="J449" s="13">
        <v>3</v>
      </c>
    </row>
    <row r="450" spans="1:10" x14ac:dyDescent="0.25">
      <c r="A450" s="6" t="s">
        <v>913</v>
      </c>
      <c r="B450" s="7" t="s">
        <v>914</v>
      </c>
      <c r="C450" s="7" t="s">
        <v>49</v>
      </c>
      <c r="D450" s="7" t="s">
        <v>25</v>
      </c>
      <c r="E450" s="7" t="s">
        <v>26</v>
      </c>
      <c r="F450" s="7" t="s">
        <v>13</v>
      </c>
      <c r="G450" s="7" t="s">
        <v>18</v>
      </c>
      <c r="H450" s="31" t="str">
        <f t="shared" si="13"/>
        <v xml:space="preserve">2 Tahun </v>
      </c>
      <c r="I450" s="8">
        <f t="shared" si="12"/>
        <v>15000000</v>
      </c>
      <c r="J450" s="9">
        <v>5</v>
      </c>
    </row>
    <row r="451" spans="1:10" x14ac:dyDescent="0.25">
      <c r="A451" s="10" t="s">
        <v>915</v>
      </c>
      <c r="B451" s="11" t="s">
        <v>916</v>
      </c>
      <c r="C451" s="11" t="s">
        <v>10</v>
      </c>
      <c r="D451" s="11" t="s">
        <v>11</v>
      </c>
      <c r="E451" s="11" t="s">
        <v>12</v>
      </c>
      <c r="F451" s="11" t="s">
        <v>22</v>
      </c>
      <c r="G451" s="11" t="s">
        <v>18</v>
      </c>
      <c r="H451" s="31" t="str">
        <f t="shared" si="13"/>
        <v>5 Tahun</v>
      </c>
      <c r="I451" s="12">
        <f t="shared" si="12"/>
        <v>20000000</v>
      </c>
      <c r="J451" s="13">
        <v>4</v>
      </c>
    </row>
    <row r="452" spans="1:10" x14ac:dyDescent="0.25">
      <c r="A452" s="6" t="s">
        <v>917</v>
      </c>
      <c r="B452" s="7" t="s">
        <v>918</v>
      </c>
      <c r="C452" s="7" t="s">
        <v>49</v>
      </c>
      <c r="D452" s="7" t="s">
        <v>11</v>
      </c>
      <c r="E452" s="7" t="s">
        <v>26</v>
      </c>
      <c r="F452" s="7" t="s">
        <v>13</v>
      </c>
      <c r="G452" s="7" t="s">
        <v>18</v>
      </c>
      <c r="H452" s="31" t="str">
        <f t="shared" si="13"/>
        <v xml:space="preserve">2 Tahun </v>
      </c>
      <c r="I452" s="8">
        <f t="shared" si="12"/>
        <v>15000000</v>
      </c>
      <c r="J452" s="9">
        <v>5</v>
      </c>
    </row>
    <row r="453" spans="1:10" x14ac:dyDescent="0.25">
      <c r="A453" s="10" t="s">
        <v>919</v>
      </c>
      <c r="B453" s="11" t="s">
        <v>920</v>
      </c>
      <c r="C453" s="11" t="s">
        <v>49</v>
      </c>
      <c r="D453" s="11" t="s">
        <v>21</v>
      </c>
      <c r="E453" s="11" t="s">
        <v>40</v>
      </c>
      <c r="F453" s="11" t="s">
        <v>22</v>
      </c>
      <c r="G453" s="11" t="s">
        <v>14</v>
      </c>
      <c r="H453" s="31" t="str">
        <f t="shared" si="13"/>
        <v>1 Tahun</v>
      </c>
      <c r="I453" s="12">
        <f t="shared" ref="I453:I504" si="14">IF(E453="Manager",20000000,IF(E453="Senior",15000000,7000000))</f>
        <v>7000000</v>
      </c>
      <c r="J453" s="13">
        <v>3</v>
      </c>
    </row>
    <row r="454" spans="1:10" x14ac:dyDescent="0.25">
      <c r="A454" s="6" t="s">
        <v>921</v>
      </c>
      <c r="B454" s="7" t="s">
        <v>922</v>
      </c>
      <c r="C454" s="7" t="s">
        <v>10</v>
      </c>
      <c r="D454" s="7" t="s">
        <v>25</v>
      </c>
      <c r="E454" s="7" t="s">
        <v>26</v>
      </c>
      <c r="F454" s="7" t="s">
        <v>22</v>
      </c>
      <c r="G454" s="7" t="s">
        <v>18</v>
      </c>
      <c r="H454" s="31" t="str">
        <f t="shared" si="13"/>
        <v xml:space="preserve">2 Tahun </v>
      </c>
      <c r="I454" s="8">
        <f t="shared" si="14"/>
        <v>15000000</v>
      </c>
      <c r="J454" s="9">
        <v>5</v>
      </c>
    </row>
    <row r="455" spans="1:10" x14ac:dyDescent="0.25">
      <c r="A455" s="10" t="s">
        <v>923</v>
      </c>
      <c r="B455" s="11" t="s">
        <v>924</v>
      </c>
      <c r="C455" s="11" t="s">
        <v>49</v>
      </c>
      <c r="D455" s="11" t="s">
        <v>29</v>
      </c>
      <c r="E455" s="11" t="s">
        <v>40</v>
      </c>
      <c r="F455" s="11" t="s">
        <v>22</v>
      </c>
      <c r="G455" s="11" t="s">
        <v>18</v>
      </c>
      <c r="H455" s="31" t="str">
        <f t="shared" ref="H455:H504" si="15">IF(E455="Manager","5 Tahun",IF(E455="Senior","2 Tahun ","1 Tahun"))</f>
        <v>1 Tahun</v>
      </c>
      <c r="I455" s="12">
        <f t="shared" si="14"/>
        <v>7000000</v>
      </c>
      <c r="J455" s="13">
        <v>5</v>
      </c>
    </row>
    <row r="456" spans="1:10" x14ac:dyDescent="0.25">
      <c r="A456" s="6" t="s">
        <v>925</v>
      </c>
      <c r="B456" s="7" t="s">
        <v>926</v>
      </c>
      <c r="C456" s="7" t="s">
        <v>10</v>
      </c>
      <c r="D456" s="7" t="s">
        <v>11</v>
      </c>
      <c r="E456" s="7" t="s">
        <v>12</v>
      </c>
      <c r="F456" s="7" t="s">
        <v>13</v>
      </c>
      <c r="G456" s="7" t="s">
        <v>14</v>
      </c>
      <c r="H456" s="31" t="str">
        <f t="shared" si="15"/>
        <v>5 Tahun</v>
      </c>
      <c r="I456" s="8">
        <f t="shared" si="14"/>
        <v>20000000</v>
      </c>
      <c r="J456" s="9">
        <v>3</v>
      </c>
    </row>
    <row r="457" spans="1:10" x14ac:dyDescent="0.25">
      <c r="A457" s="10" t="s">
        <v>927</v>
      </c>
      <c r="B457" s="11" t="s">
        <v>928</v>
      </c>
      <c r="C457" s="11" t="s">
        <v>49</v>
      </c>
      <c r="D457" s="11" t="s">
        <v>17</v>
      </c>
      <c r="E457" s="11" t="s">
        <v>12</v>
      </c>
      <c r="F457" s="11" t="s">
        <v>13</v>
      </c>
      <c r="G457" s="11" t="s">
        <v>18</v>
      </c>
      <c r="H457" s="31" t="str">
        <f t="shared" si="15"/>
        <v>5 Tahun</v>
      </c>
      <c r="I457" s="12">
        <f t="shared" si="14"/>
        <v>20000000</v>
      </c>
      <c r="J457" s="13">
        <v>3</v>
      </c>
    </row>
    <row r="458" spans="1:10" x14ac:dyDescent="0.25">
      <c r="A458" s="6" t="s">
        <v>929</v>
      </c>
      <c r="B458" s="7" t="s">
        <v>930</v>
      </c>
      <c r="C458" s="7" t="s">
        <v>10</v>
      </c>
      <c r="D458" s="7" t="s">
        <v>17</v>
      </c>
      <c r="E458" s="7" t="s">
        <v>12</v>
      </c>
      <c r="F458" s="7" t="s">
        <v>22</v>
      </c>
      <c r="G458" s="7" t="s">
        <v>18</v>
      </c>
      <c r="H458" s="31" t="str">
        <f t="shared" si="15"/>
        <v>5 Tahun</v>
      </c>
      <c r="I458" s="8">
        <f t="shared" si="14"/>
        <v>20000000</v>
      </c>
      <c r="J458" s="9">
        <v>4</v>
      </c>
    </row>
    <row r="459" spans="1:10" x14ac:dyDescent="0.25">
      <c r="A459" s="10" t="s">
        <v>931</v>
      </c>
      <c r="B459" s="11" t="s">
        <v>932</v>
      </c>
      <c r="C459" s="11" t="s">
        <v>10</v>
      </c>
      <c r="D459" s="11" t="s">
        <v>21</v>
      </c>
      <c r="E459" s="11" t="s">
        <v>40</v>
      </c>
      <c r="F459" s="11" t="s">
        <v>13</v>
      </c>
      <c r="G459" s="11" t="s">
        <v>14</v>
      </c>
      <c r="H459" s="31" t="str">
        <f t="shared" si="15"/>
        <v>1 Tahun</v>
      </c>
      <c r="I459" s="12">
        <f t="shared" si="14"/>
        <v>7000000</v>
      </c>
      <c r="J459" s="13">
        <v>4</v>
      </c>
    </row>
    <row r="460" spans="1:10" x14ac:dyDescent="0.25">
      <c r="A460" s="6" t="s">
        <v>933</v>
      </c>
      <c r="B460" s="7" t="s">
        <v>934</v>
      </c>
      <c r="C460" s="7" t="s">
        <v>10</v>
      </c>
      <c r="D460" s="7" t="s">
        <v>25</v>
      </c>
      <c r="E460" s="7" t="s">
        <v>40</v>
      </c>
      <c r="F460" s="7" t="s">
        <v>22</v>
      </c>
      <c r="G460" s="7" t="s">
        <v>18</v>
      </c>
      <c r="H460" s="31" t="str">
        <f t="shared" si="15"/>
        <v>1 Tahun</v>
      </c>
      <c r="I460" s="8">
        <f t="shared" si="14"/>
        <v>7000000</v>
      </c>
      <c r="J460" s="9">
        <v>5</v>
      </c>
    </row>
    <row r="461" spans="1:10" x14ac:dyDescent="0.25">
      <c r="A461" s="10" t="s">
        <v>935</v>
      </c>
      <c r="B461" s="11" t="s">
        <v>936</v>
      </c>
      <c r="C461" s="11" t="s">
        <v>10</v>
      </c>
      <c r="D461" s="11" t="s">
        <v>17</v>
      </c>
      <c r="E461" s="11" t="s">
        <v>40</v>
      </c>
      <c r="F461" s="11" t="s">
        <v>22</v>
      </c>
      <c r="G461" s="11" t="s">
        <v>14</v>
      </c>
      <c r="H461" s="31" t="str">
        <f t="shared" si="15"/>
        <v>1 Tahun</v>
      </c>
      <c r="I461" s="12">
        <f t="shared" si="14"/>
        <v>7000000</v>
      </c>
      <c r="J461" s="13">
        <v>4</v>
      </c>
    </row>
    <row r="462" spans="1:10" x14ac:dyDescent="0.25">
      <c r="A462" s="6" t="s">
        <v>937</v>
      </c>
      <c r="B462" s="7" t="s">
        <v>938</v>
      </c>
      <c r="C462" s="7" t="s">
        <v>10</v>
      </c>
      <c r="D462" s="7" t="s">
        <v>25</v>
      </c>
      <c r="E462" s="7" t="s">
        <v>40</v>
      </c>
      <c r="F462" s="7" t="s">
        <v>22</v>
      </c>
      <c r="G462" s="7" t="s">
        <v>18</v>
      </c>
      <c r="H462" s="31" t="str">
        <f t="shared" si="15"/>
        <v>1 Tahun</v>
      </c>
      <c r="I462" s="8">
        <f t="shared" si="14"/>
        <v>7000000</v>
      </c>
      <c r="J462" s="9">
        <v>3</v>
      </c>
    </row>
    <row r="463" spans="1:10" x14ac:dyDescent="0.25">
      <c r="A463" s="10" t="s">
        <v>939</v>
      </c>
      <c r="B463" s="11" t="s">
        <v>940</v>
      </c>
      <c r="C463" s="11" t="s">
        <v>10</v>
      </c>
      <c r="D463" s="11" t="s">
        <v>17</v>
      </c>
      <c r="E463" s="11" t="s">
        <v>26</v>
      </c>
      <c r="F463" s="11" t="s">
        <v>13</v>
      </c>
      <c r="G463" s="11" t="s">
        <v>18</v>
      </c>
      <c r="H463" s="31" t="str">
        <f t="shared" si="15"/>
        <v xml:space="preserve">2 Tahun </v>
      </c>
      <c r="I463" s="12">
        <f t="shared" si="14"/>
        <v>15000000</v>
      </c>
      <c r="J463" s="13">
        <v>4</v>
      </c>
    </row>
    <row r="464" spans="1:10" x14ac:dyDescent="0.25">
      <c r="A464" s="6" t="s">
        <v>941</v>
      </c>
      <c r="B464" s="7" t="s">
        <v>942</v>
      </c>
      <c r="C464" s="7" t="s">
        <v>10</v>
      </c>
      <c r="D464" s="7" t="s">
        <v>21</v>
      </c>
      <c r="E464" s="7" t="s">
        <v>12</v>
      </c>
      <c r="F464" s="7" t="s">
        <v>13</v>
      </c>
      <c r="G464" s="7" t="s">
        <v>18</v>
      </c>
      <c r="H464" s="31" t="str">
        <f t="shared" si="15"/>
        <v>5 Tahun</v>
      </c>
      <c r="I464" s="8">
        <f t="shared" si="14"/>
        <v>20000000</v>
      </c>
      <c r="J464" s="9">
        <v>4</v>
      </c>
    </row>
    <row r="465" spans="1:10" x14ac:dyDescent="0.25">
      <c r="A465" s="10" t="s">
        <v>943</v>
      </c>
      <c r="B465" s="11" t="s">
        <v>944</v>
      </c>
      <c r="C465" s="11" t="s">
        <v>49</v>
      </c>
      <c r="D465" s="11" t="s">
        <v>29</v>
      </c>
      <c r="E465" s="11" t="s">
        <v>12</v>
      </c>
      <c r="F465" s="11" t="s">
        <v>22</v>
      </c>
      <c r="G465" s="11" t="s">
        <v>14</v>
      </c>
      <c r="H465" s="31" t="str">
        <f t="shared" si="15"/>
        <v>5 Tahun</v>
      </c>
      <c r="I465" s="12">
        <f t="shared" si="14"/>
        <v>20000000</v>
      </c>
      <c r="J465" s="13">
        <v>4</v>
      </c>
    </row>
    <row r="466" spans="1:10" x14ac:dyDescent="0.25">
      <c r="A466" s="6" t="s">
        <v>945</v>
      </c>
      <c r="B466" s="7" t="s">
        <v>946</v>
      </c>
      <c r="C466" s="7" t="s">
        <v>49</v>
      </c>
      <c r="D466" s="7" t="s">
        <v>21</v>
      </c>
      <c r="E466" s="7" t="s">
        <v>12</v>
      </c>
      <c r="F466" s="7" t="s">
        <v>13</v>
      </c>
      <c r="G466" s="7" t="s">
        <v>14</v>
      </c>
      <c r="H466" s="31" t="str">
        <f t="shared" si="15"/>
        <v>5 Tahun</v>
      </c>
      <c r="I466" s="8">
        <f t="shared" si="14"/>
        <v>20000000</v>
      </c>
      <c r="J466" s="9">
        <v>5</v>
      </c>
    </row>
    <row r="467" spans="1:10" x14ac:dyDescent="0.25">
      <c r="A467" s="10" t="s">
        <v>947</v>
      </c>
      <c r="B467" s="11" t="s">
        <v>948</v>
      </c>
      <c r="C467" s="11" t="s">
        <v>10</v>
      </c>
      <c r="D467" s="11" t="s">
        <v>11</v>
      </c>
      <c r="E467" s="11" t="s">
        <v>12</v>
      </c>
      <c r="F467" s="11" t="s">
        <v>13</v>
      </c>
      <c r="G467" s="11" t="s">
        <v>18</v>
      </c>
      <c r="H467" s="31" t="str">
        <f t="shared" si="15"/>
        <v>5 Tahun</v>
      </c>
      <c r="I467" s="12">
        <f t="shared" si="14"/>
        <v>20000000</v>
      </c>
      <c r="J467" s="13">
        <v>5</v>
      </c>
    </row>
    <row r="468" spans="1:10" x14ac:dyDescent="0.25">
      <c r="A468" s="6" t="s">
        <v>949</v>
      </c>
      <c r="B468" s="7" t="s">
        <v>950</v>
      </c>
      <c r="C468" s="7" t="s">
        <v>49</v>
      </c>
      <c r="D468" s="7" t="s">
        <v>17</v>
      </c>
      <c r="E468" s="7" t="s">
        <v>40</v>
      </c>
      <c r="F468" s="7" t="s">
        <v>22</v>
      </c>
      <c r="G468" s="7" t="s">
        <v>18</v>
      </c>
      <c r="H468" s="31" t="str">
        <f t="shared" si="15"/>
        <v>1 Tahun</v>
      </c>
      <c r="I468" s="8">
        <f t="shared" si="14"/>
        <v>7000000</v>
      </c>
      <c r="J468" s="9">
        <v>4</v>
      </c>
    </row>
    <row r="469" spans="1:10" x14ac:dyDescent="0.25">
      <c r="A469" s="10" t="s">
        <v>951</v>
      </c>
      <c r="B469" s="11" t="s">
        <v>952</v>
      </c>
      <c r="C469" s="11" t="s">
        <v>10</v>
      </c>
      <c r="D469" s="11" t="s">
        <v>21</v>
      </c>
      <c r="E469" s="11" t="s">
        <v>40</v>
      </c>
      <c r="F469" s="11" t="s">
        <v>22</v>
      </c>
      <c r="G469" s="11" t="s">
        <v>14</v>
      </c>
      <c r="H469" s="31" t="str">
        <f t="shared" si="15"/>
        <v>1 Tahun</v>
      </c>
      <c r="I469" s="12">
        <f t="shared" si="14"/>
        <v>7000000</v>
      </c>
      <c r="J469" s="13">
        <v>5</v>
      </c>
    </row>
    <row r="470" spans="1:10" x14ac:dyDescent="0.25">
      <c r="A470" s="6" t="s">
        <v>953</v>
      </c>
      <c r="B470" s="7" t="s">
        <v>954</v>
      </c>
      <c r="C470" s="7" t="s">
        <v>49</v>
      </c>
      <c r="D470" s="7" t="s">
        <v>17</v>
      </c>
      <c r="E470" s="7" t="s">
        <v>12</v>
      </c>
      <c r="F470" s="7" t="s">
        <v>13</v>
      </c>
      <c r="G470" s="7" t="s">
        <v>18</v>
      </c>
      <c r="H470" s="31" t="str">
        <f t="shared" si="15"/>
        <v>5 Tahun</v>
      </c>
      <c r="I470" s="8">
        <f t="shared" si="14"/>
        <v>20000000</v>
      </c>
      <c r="J470" s="9">
        <v>4</v>
      </c>
    </row>
    <row r="471" spans="1:10" x14ac:dyDescent="0.25">
      <c r="A471" s="10" t="s">
        <v>955</v>
      </c>
      <c r="B471" s="11" t="s">
        <v>956</v>
      </c>
      <c r="C471" s="11" t="s">
        <v>10</v>
      </c>
      <c r="D471" s="11" t="s">
        <v>17</v>
      </c>
      <c r="E471" s="11" t="s">
        <v>26</v>
      </c>
      <c r="F471" s="11" t="s">
        <v>13</v>
      </c>
      <c r="G471" s="11" t="s">
        <v>18</v>
      </c>
      <c r="H471" s="31" t="str">
        <f t="shared" si="15"/>
        <v xml:space="preserve">2 Tahun </v>
      </c>
      <c r="I471" s="12">
        <f t="shared" si="14"/>
        <v>15000000</v>
      </c>
      <c r="J471" s="13">
        <v>5</v>
      </c>
    </row>
    <row r="472" spans="1:10" x14ac:dyDescent="0.25">
      <c r="A472" s="6" t="s">
        <v>957</v>
      </c>
      <c r="B472" s="7" t="s">
        <v>958</v>
      </c>
      <c r="C472" s="7" t="s">
        <v>10</v>
      </c>
      <c r="D472" s="7" t="s">
        <v>11</v>
      </c>
      <c r="E472" s="7" t="s">
        <v>26</v>
      </c>
      <c r="F472" s="7" t="s">
        <v>22</v>
      </c>
      <c r="G472" s="7" t="s">
        <v>14</v>
      </c>
      <c r="H472" s="31" t="str">
        <f t="shared" si="15"/>
        <v xml:space="preserve">2 Tahun </v>
      </c>
      <c r="I472" s="8">
        <f t="shared" si="14"/>
        <v>15000000</v>
      </c>
      <c r="J472" s="9">
        <v>5</v>
      </c>
    </row>
    <row r="473" spans="1:10" x14ac:dyDescent="0.25">
      <c r="A473" s="10" t="s">
        <v>959</v>
      </c>
      <c r="B473" s="11" t="s">
        <v>960</v>
      </c>
      <c r="C473" s="11" t="s">
        <v>49</v>
      </c>
      <c r="D473" s="11" t="s">
        <v>21</v>
      </c>
      <c r="E473" s="11" t="s">
        <v>12</v>
      </c>
      <c r="F473" s="11" t="s">
        <v>13</v>
      </c>
      <c r="G473" s="11" t="s">
        <v>18</v>
      </c>
      <c r="H473" s="31" t="str">
        <f t="shared" si="15"/>
        <v>5 Tahun</v>
      </c>
      <c r="I473" s="12">
        <f t="shared" si="14"/>
        <v>20000000</v>
      </c>
      <c r="J473" s="13">
        <v>3</v>
      </c>
    </row>
    <row r="474" spans="1:10" x14ac:dyDescent="0.25">
      <c r="A474" s="6" t="s">
        <v>961</v>
      </c>
      <c r="B474" s="7" t="s">
        <v>962</v>
      </c>
      <c r="C474" s="7" t="s">
        <v>49</v>
      </c>
      <c r="D474" s="7" t="s">
        <v>17</v>
      </c>
      <c r="E474" s="7" t="s">
        <v>26</v>
      </c>
      <c r="F474" s="7" t="s">
        <v>22</v>
      </c>
      <c r="G474" s="7" t="s">
        <v>14</v>
      </c>
      <c r="H474" s="31" t="str">
        <f t="shared" si="15"/>
        <v xml:space="preserve">2 Tahun </v>
      </c>
      <c r="I474" s="8">
        <f t="shared" si="14"/>
        <v>15000000</v>
      </c>
      <c r="J474" s="9">
        <v>4</v>
      </c>
    </row>
    <row r="475" spans="1:10" x14ac:dyDescent="0.25">
      <c r="A475" s="10" t="s">
        <v>963</v>
      </c>
      <c r="B475" s="11" t="s">
        <v>964</v>
      </c>
      <c r="C475" s="11" t="s">
        <v>49</v>
      </c>
      <c r="D475" s="11" t="s">
        <v>29</v>
      </c>
      <c r="E475" s="11" t="s">
        <v>26</v>
      </c>
      <c r="F475" s="11" t="s">
        <v>13</v>
      </c>
      <c r="G475" s="11" t="s">
        <v>18</v>
      </c>
      <c r="H475" s="31" t="str">
        <f t="shared" si="15"/>
        <v xml:space="preserve">2 Tahun </v>
      </c>
      <c r="I475" s="12">
        <f t="shared" si="14"/>
        <v>15000000</v>
      </c>
      <c r="J475" s="13">
        <v>4</v>
      </c>
    </row>
    <row r="476" spans="1:10" x14ac:dyDescent="0.25">
      <c r="A476" s="6" t="s">
        <v>965</v>
      </c>
      <c r="B476" s="7" t="s">
        <v>966</v>
      </c>
      <c r="C476" s="7" t="s">
        <v>10</v>
      </c>
      <c r="D476" s="7" t="s">
        <v>25</v>
      </c>
      <c r="E476" s="7" t="s">
        <v>40</v>
      </c>
      <c r="F476" s="7" t="s">
        <v>22</v>
      </c>
      <c r="G476" s="7" t="s">
        <v>18</v>
      </c>
      <c r="H476" s="31" t="str">
        <f t="shared" si="15"/>
        <v>1 Tahun</v>
      </c>
      <c r="I476" s="8">
        <f t="shared" si="14"/>
        <v>7000000</v>
      </c>
      <c r="J476" s="9">
        <v>3</v>
      </c>
    </row>
    <row r="477" spans="1:10" x14ac:dyDescent="0.25">
      <c r="A477" s="10" t="s">
        <v>967</v>
      </c>
      <c r="B477" s="11" t="s">
        <v>968</v>
      </c>
      <c r="C477" s="11" t="s">
        <v>10</v>
      </c>
      <c r="D477" s="11" t="s">
        <v>21</v>
      </c>
      <c r="E477" s="11" t="s">
        <v>40</v>
      </c>
      <c r="F477" s="11" t="s">
        <v>13</v>
      </c>
      <c r="G477" s="11" t="s">
        <v>14</v>
      </c>
      <c r="H477" s="31" t="str">
        <f t="shared" si="15"/>
        <v>1 Tahun</v>
      </c>
      <c r="I477" s="12">
        <f t="shared" si="14"/>
        <v>7000000</v>
      </c>
      <c r="J477" s="13">
        <v>5</v>
      </c>
    </row>
    <row r="478" spans="1:10" x14ac:dyDescent="0.25">
      <c r="A478" s="6" t="s">
        <v>969</v>
      </c>
      <c r="B478" s="7" t="s">
        <v>970</v>
      </c>
      <c r="C478" s="7" t="s">
        <v>10</v>
      </c>
      <c r="D478" s="7" t="s">
        <v>17</v>
      </c>
      <c r="E478" s="7" t="s">
        <v>26</v>
      </c>
      <c r="F478" s="7" t="s">
        <v>13</v>
      </c>
      <c r="G478" s="7" t="s">
        <v>14</v>
      </c>
      <c r="H478" s="31" t="str">
        <f t="shared" si="15"/>
        <v xml:space="preserve">2 Tahun </v>
      </c>
      <c r="I478" s="8">
        <f t="shared" si="14"/>
        <v>15000000</v>
      </c>
      <c r="J478" s="9">
        <v>5</v>
      </c>
    </row>
    <row r="479" spans="1:10" x14ac:dyDescent="0.25">
      <c r="A479" s="10" t="s">
        <v>971</v>
      </c>
      <c r="B479" s="11" t="s">
        <v>972</v>
      </c>
      <c r="C479" s="11" t="s">
        <v>49</v>
      </c>
      <c r="D479" s="11" t="s">
        <v>21</v>
      </c>
      <c r="E479" s="11" t="s">
        <v>12</v>
      </c>
      <c r="F479" s="11" t="s">
        <v>13</v>
      </c>
      <c r="G479" s="11" t="s">
        <v>18</v>
      </c>
      <c r="H479" s="31" t="str">
        <f t="shared" si="15"/>
        <v>5 Tahun</v>
      </c>
      <c r="I479" s="12">
        <f t="shared" si="14"/>
        <v>20000000</v>
      </c>
      <c r="J479" s="13">
        <v>4</v>
      </c>
    </row>
    <row r="480" spans="1:10" x14ac:dyDescent="0.25">
      <c r="A480" s="6" t="s">
        <v>973</v>
      </c>
      <c r="B480" s="7" t="s">
        <v>974</v>
      </c>
      <c r="C480" s="7" t="s">
        <v>49</v>
      </c>
      <c r="D480" s="7" t="s">
        <v>11</v>
      </c>
      <c r="E480" s="7" t="s">
        <v>26</v>
      </c>
      <c r="F480" s="7" t="s">
        <v>13</v>
      </c>
      <c r="G480" s="7" t="s">
        <v>18</v>
      </c>
      <c r="H480" s="31" t="str">
        <f t="shared" si="15"/>
        <v xml:space="preserve">2 Tahun </v>
      </c>
      <c r="I480" s="8">
        <f t="shared" si="14"/>
        <v>15000000</v>
      </c>
      <c r="J480" s="9">
        <v>4</v>
      </c>
    </row>
    <row r="481" spans="1:10" x14ac:dyDescent="0.25">
      <c r="A481" s="10" t="s">
        <v>975</v>
      </c>
      <c r="B481" s="11" t="s">
        <v>976</v>
      </c>
      <c r="C481" s="11" t="s">
        <v>10</v>
      </c>
      <c r="D481" s="11" t="s">
        <v>25</v>
      </c>
      <c r="E481" s="11" t="s">
        <v>40</v>
      </c>
      <c r="F481" s="11" t="s">
        <v>22</v>
      </c>
      <c r="G481" s="11" t="s">
        <v>18</v>
      </c>
      <c r="H481" s="31" t="str">
        <f t="shared" si="15"/>
        <v>1 Tahun</v>
      </c>
      <c r="I481" s="12">
        <f t="shared" si="14"/>
        <v>7000000</v>
      </c>
      <c r="J481" s="13">
        <v>3</v>
      </c>
    </row>
    <row r="482" spans="1:10" x14ac:dyDescent="0.25">
      <c r="A482" s="6" t="s">
        <v>977</v>
      </c>
      <c r="B482" s="7" t="s">
        <v>978</v>
      </c>
      <c r="C482" s="7" t="s">
        <v>10</v>
      </c>
      <c r="D482" s="7" t="s">
        <v>21</v>
      </c>
      <c r="E482" s="7" t="s">
        <v>12</v>
      </c>
      <c r="F482" s="7" t="s">
        <v>22</v>
      </c>
      <c r="G482" s="7" t="s">
        <v>18</v>
      </c>
      <c r="H482" s="31" t="str">
        <f t="shared" si="15"/>
        <v>5 Tahun</v>
      </c>
      <c r="I482" s="8">
        <f t="shared" si="14"/>
        <v>20000000</v>
      </c>
      <c r="J482" s="9">
        <v>3</v>
      </c>
    </row>
    <row r="483" spans="1:10" x14ac:dyDescent="0.25">
      <c r="A483" s="10" t="s">
        <v>979</v>
      </c>
      <c r="B483" s="11" t="s">
        <v>980</v>
      </c>
      <c r="C483" s="11" t="s">
        <v>10</v>
      </c>
      <c r="D483" s="11" t="s">
        <v>21</v>
      </c>
      <c r="E483" s="11" t="s">
        <v>40</v>
      </c>
      <c r="F483" s="11" t="s">
        <v>13</v>
      </c>
      <c r="G483" s="11" t="s">
        <v>14</v>
      </c>
      <c r="H483" s="31" t="str">
        <f t="shared" si="15"/>
        <v>1 Tahun</v>
      </c>
      <c r="I483" s="12">
        <f t="shared" si="14"/>
        <v>7000000</v>
      </c>
      <c r="J483" s="13">
        <v>3</v>
      </c>
    </row>
    <row r="484" spans="1:10" x14ac:dyDescent="0.25">
      <c r="A484" s="6" t="s">
        <v>981</v>
      </c>
      <c r="B484" s="7" t="s">
        <v>982</v>
      </c>
      <c r="C484" s="7" t="s">
        <v>49</v>
      </c>
      <c r="D484" s="7" t="s">
        <v>17</v>
      </c>
      <c r="E484" s="7" t="s">
        <v>12</v>
      </c>
      <c r="F484" s="7" t="s">
        <v>22</v>
      </c>
      <c r="G484" s="7" t="s">
        <v>14</v>
      </c>
      <c r="H484" s="31" t="str">
        <f t="shared" si="15"/>
        <v>5 Tahun</v>
      </c>
      <c r="I484" s="8">
        <f t="shared" si="14"/>
        <v>20000000</v>
      </c>
      <c r="J484" s="9">
        <v>5</v>
      </c>
    </row>
    <row r="485" spans="1:10" x14ac:dyDescent="0.25">
      <c r="A485" s="10" t="s">
        <v>983</v>
      </c>
      <c r="B485" s="11" t="s">
        <v>984</v>
      </c>
      <c r="C485" s="11" t="s">
        <v>49</v>
      </c>
      <c r="D485" s="11" t="s">
        <v>21</v>
      </c>
      <c r="E485" s="11" t="s">
        <v>12</v>
      </c>
      <c r="F485" s="11" t="s">
        <v>22</v>
      </c>
      <c r="G485" s="11" t="s">
        <v>18</v>
      </c>
      <c r="H485" s="31" t="str">
        <f t="shared" si="15"/>
        <v>5 Tahun</v>
      </c>
      <c r="I485" s="12">
        <f t="shared" si="14"/>
        <v>20000000</v>
      </c>
      <c r="J485" s="13">
        <v>3</v>
      </c>
    </row>
    <row r="486" spans="1:10" x14ac:dyDescent="0.25">
      <c r="A486" s="6" t="s">
        <v>985</v>
      </c>
      <c r="B486" s="7" t="s">
        <v>986</v>
      </c>
      <c r="C486" s="7" t="s">
        <v>10</v>
      </c>
      <c r="D486" s="7" t="s">
        <v>11</v>
      </c>
      <c r="E486" s="7" t="s">
        <v>12</v>
      </c>
      <c r="F486" s="7" t="s">
        <v>22</v>
      </c>
      <c r="G486" s="7" t="s">
        <v>18</v>
      </c>
      <c r="H486" s="31" t="str">
        <f t="shared" si="15"/>
        <v>5 Tahun</v>
      </c>
      <c r="I486" s="8">
        <f t="shared" si="14"/>
        <v>20000000</v>
      </c>
      <c r="J486" s="9">
        <v>4</v>
      </c>
    </row>
    <row r="487" spans="1:10" x14ac:dyDescent="0.25">
      <c r="A487" s="10" t="s">
        <v>987</v>
      </c>
      <c r="B487" s="11" t="s">
        <v>988</v>
      </c>
      <c r="C487" s="11" t="s">
        <v>49</v>
      </c>
      <c r="D487" s="11" t="s">
        <v>11</v>
      </c>
      <c r="E487" s="11" t="s">
        <v>40</v>
      </c>
      <c r="F487" s="11" t="s">
        <v>13</v>
      </c>
      <c r="G487" s="11" t="s">
        <v>18</v>
      </c>
      <c r="H487" s="31" t="str">
        <f t="shared" si="15"/>
        <v>1 Tahun</v>
      </c>
      <c r="I487" s="12">
        <f t="shared" si="14"/>
        <v>7000000</v>
      </c>
      <c r="J487" s="13">
        <v>4</v>
      </c>
    </row>
    <row r="488" spans="1:10" x14ac:dyDescent="0.25">
      <c r="A488" s="6" t="s">
        <v>989</v>
      </c>
      <c r="B488" s="7" t="s">
        <v>990</v>
      </c>
      <c r="C488" s="7" t="s">
        <v>10</v>
      </c>
      <c r="D488" s="7" t="s">
        <v>21</v>
      </c>
      <c r="E488" s="7" t="s">
        <v>12</v>
      </c>
      <c r="F488" s="7" t="s">
        <v>22</v>
      </c>
      <c r="G488" s="7" t="s">
        <v>14</v>
      </c>
      <c r="H488" s="31" t="str">
        <f t="shared" si="15"/>
        <v>5 Tahun</v>
      </c>
      <c r="I488" s="8">
        <f t="shared" si="14"/>
        <v>20000000</v>
      </c>
      <c r="J488" s="9">
        <v>3</v>
      </c>
    </row>
    <row r="489" spans="1:10" x14ac:dyDescent="0.25">
      <c r="A489" s="10" t="s">
        <v>991</v>
      </c>
      <c r="B489" s="11" t="s">
        <v>992</v>
      </c>
      <c r="C489" s="11" t="s">
        <v>49</v>
      </c>
      <c r="D489" s="11" t="s">
        <v>11</v>
      </c>
      <c r="E489" s="11" t="s">
        <v>40</v>
      </c>
      <c r="F489" s="11" t="s">
        <v>22</v>
      </c>
      <c r="G489" s="11" t="s">
        <v>14</v>
      </c>
      <c r="H489" s="31" t="str">
        <f t="shared" si="15"/>
        <v>1 Tahun</v>
      </c>
      <c r="I489" s="12">
        <f t="shared" si="14"/>
        <v>7000000</v>
      </c>
      <c r="J489" s="13">
        <v>4</v>
      </c>
    </row>
    <row r="490" spans="1:10" x14ac:dyDescent="0.25">
      <c r="A490" s="6" t="s">
        <v>993</v>
      </c>
      <c r="B490" s="7" t="s">
        <v>994</v>
      </c>
      <c r="C490" s="7" t="s">
        <v>10</v>
      </c>
      <c r="D490" s="7" t="s">
        <v>17</v>
      </c>
      <c r="E490" s="7" t="s">
        <v>40</v>
      </c>
      <c r="F490" s="7" t="s">
        <v>13</v>
      </c>
      <c r="G490" s="7" t="s">
        <v>14</v>
      </c>
      <c r="H490" s="31" t="str">
        <f t="shared" si="15"/>
        <v>1 Tahun</v>
      </c>
      <c r="I490" s="8">
        <f t="shared" si="14"/>
        <v>7000000</v>
      </c>
      <c r="J490" s="9">
        <v>3</v>
      </c>
    </row>
    <row r="491" spans="1:10" x14ac:dyDescent="0.25">
      <c r="A491" s="10" t="s">
        <v>995</v>
      </c>
      <c r="B491" s="11" t="s">
        <v>996</v>
      </c>
      <c r="C491" s="11" t="s">
        <v>10</v>
      </c>
      <c r="D491" s="11" t="s">
        <v>17</v>
      </c>
      <c r="E491" s="11" t="s">
        <v>26</v>
      </c>
      <c r="F491" s="11" t="s">
        <v>13</v>
      </c>
      <c r="G491" s="11" t="s">
        <v>18</v>
      </c>
      <c r="H491" s="31" t="str">
        <f t="shared" si="15"/>
        <v xml:space="preserve">2 Tahun </v>
      </c>
      <c r="I491" s="12">
        <f t="shared" si="14"/>
        <v>15000000</v>
      </c>
      <c r="J491" s="13">
        <v>3</v>
      </c>
    </row>
    <row r="492" spans="1:10" x14ac:dyDescent="0.25">
      <c r="A492" s="6" t="s">
        <v>997</v>
      </c>
      <c r="B492" s="7" t="s">
        <v>998</v>
      </c>
      <c r="C492" s="7" t="s">
        <v>10</v>
      </c>
      <c r="D492" s="7" t="s">
        <v>29</v>
      </c>
      <c r="E492" s="7" t="s">
        <v>40</v>
      </c>
      <c r="F492" s="7" t="s">
        <v>13</v>
      </c>
      <c r="G492" s="7" t="s">
        <v>14</v>
      </c>
      <c r="H492" s="31" t="str">
        <f t="shared" si="15"/>
        <v>1 Tahun</v>
      </c>
      <c r="I492" s="8">
        <f t="shared" si="14"/>
        <v>7000000</v>
      </c>
      <c r="J492" s="9">
        <v>5</v>
      </c>
    </row>
    <row r="493" spans="1:10" x14ac:dyDescent="0.25">
      <c r="A493" s="10" t="s">
        <v>999</v>
      </c>
      <c r="B493" s="11" t="s">
        <v>1000</v>
      </c>
      <c r="C493" s="11" t="s">
        <v>49</v>
      </c>
      <c r="D493" s="11" t="s">
        <v>25</v>
      </c>
      <c r="E493" s="11" t="s">
        <v>12</v>
      </c>
      <c r="F493" s="11" t="s">
        <v>22</v>
      </c>
      <c r="G493" s="11" t="s">
        <v>14</v>
      </c>
      <c r="H493" s="31" t="str">
        <f t="shared" si="15"/>
        <v>5 Tahun</v>
      </c>
      <c r="I493" s="12">
        <f t="shared" si="14"/>
        <v>20000000</v>
      </c>
      <c r="J493" s="13">
        <v>3</v>
      </c>
    </row>
    <row r="494" spans="1:10" x14ac:dyDescent="0.25">
      <c r="A494" s="6" t="s">
        <v>1001</v>
      </c>
      <c r="B494" s="7" t="s">
        <v>1002</v>
      </c>
      <c r="C494" s="7" t="s">
        <v>49</v>
      </c>
      <c r="D494" s="7" t="s">
        <v>17</v>
      </c>
      <c r="E494" s="7" t="s">
        <v>26</v>
      </c>
      <c r="F494" s="7" t="s">
        <v>22</v>
      </c>
      <c r="G494" s="7" t="s">
        <v>18</v>
      </c>
      <c r="H494" s="31" t="str">
        <f t="shared" si="15"/>
        <v xml:space="preserve">2 Tahun </v>
      </c>
      <c r="I494" s="8">
        <f t="shared" si="14"/>
        <v>15000000</v>
      </c>
      <c r="J494" s="9">
        <v>5</v>
      </c>
    </row>
    <row r="495" spans="1:10" x14ac:dyDescent="0.25">
      <c r="A495" s="10" t="s">
        <v>1003</v>
      </c>
      <c r="B495" s="11" t="s">
        <v>1004</v>
      </c>
      <c r="C495" s="11" t="s">
        <v>10</v>
      </c>
      <c r="D495" s="11" t="s">
        <v>21</v>
      </c>
      <c r="E495" s="11" t="s">
        <v>40</v>
      </c>
      <c r="F495" s="11" t="s">
        <v>13</v>
      </c>
      <c r="G495" s="11" t="s">
        <v>14</v>
      </c>
      <c r="H495" s="31" t="str">
        <f t="shared" si="15"/>
        <v>1 Tahun</v>
      </c>
      <c r="I495" s="12">
        <f t="shared" si="14"/>
        <v>7000000</v>
      </c>
      <c r="J495" s="13">
        <v>5</v>
      </c>
    </row>
    <row r="496" spans="1:10" x14ac:dyDescent="0.25">
      <c r="A496" s="6" t="s">
        <v>1005</v>
      </c>
      <c r="B496" s="7" t="s">
        <v>1006</v>
      </c>
      <c r="C496" s="7" t="s">
        <v>10</v>
      </c>
      <c r="D496" s="7" t="s">
        <v>21</v>
      </c>
      <c r="E496" s="7" t="s">
        <v>26</v>
      </c>
      <c r="F496" s="7" t="s">
        <v>22</v>
      </c>
      <c r="G496" s="7" t="s">
        <v>18</v>
      </c>
      <c r="H496" s="31" t="str">
        <f t="shared" si="15"/>
        <v xml:space="preserve">2 Tahun </v>
      </c>
      <c r="I496" s="8">
        <f t="shared" si="14"/>
        <v>15000000</v>
      </c>
      <c r="J496" s="9">
        <v>5</v>
      </c>
    </row>
    <row r="497" spans="1:10" x14ac:dyDescent="0.25">
      <c r="A497" s="10" t="s">
        <v>1007</v>
      </c>
      <c r="B497" s="11" t="s">
        <v>1008</v>
      </c>
      <c r="C497" s="11" t="s">
        <v>10</v>
      </c>
      <c r="D497" s="11" t="s">
        <v>11</v>
      </c>
      <c r="E497" s="11" t="s">
        <v>26</v>
      </c>
      <c r="F497" s="11" t="s">
        <v>22</v>
      </c>
      <c r="G497" s="11" t="s">
        <v>18</v>
      </c>
      <c r="H497" s="31" t="str">
        <f t="shared" si="15"/>
        <v xml:space="preserve">2 Tahun </v>
      </c>
      <c r="I497" s="12">
        <f t="shared" si="14"/>
        <v>15000000</v>
      </c>
      <c r="J497" s="13">
        <v>3</v>
      </c>
    </row>
    <row r="498" spans="1:10" x14ac:dyDescent="0.25">
      <c r="A498" s="6" t="s">
        <v>1009</v>
      </c>
      <c r="B498" s="7" t="s">
        <v>1010</v>
      </c>
      <c r="C498" s="7" t="s">
        <v>49</v>
      </c>
      <c r="D498" s="7" t="s">
        <v>21</v>
      </c>
      <c r="E498" s="7" t="s">
        <v>40</v>
      </c>
      <c r="F498" s="7" t="s">
        <v>13</v>
      </c>
      <c r="G498" s="7" t="s">
        <v>14</v>
      </c>
      <c r="H498" s="31" t="str">
        <f t="shared" si="15"/>
        <v>1 Tahun</v>
      </c>
      <c r="I498" s="8">
        <f t="shared" si="14"/>
        <v>7000000</v>
      </c>
      <c r="J498" s="9">
        <v>4</v>
      </c>
    </row>
    <row r="499" spans="1:10" x14ac:dyDescent="0.25">
      <c r="A499" s="10" t="s">
        <v>1011</v>
      </c>
      <c r="B499" s="11" t="s">
        <v>1012</v>
      </c>
      <c r="C499" s="11" t="s">
        <v>49</v>
      </c>
      <c r="D499" s="11" t="s">
        <v>11</v>
      </c>
      <c r="E499" s="11" t="s">
        <v>26</v>
      </c>
      <c r="F499" s="11" t="s">
        <v>13</v>
      </c>
      <c r="G499" s="11" t="s">
        <v>18</v>
      </c>
      <c r="H499" s="31" t="str">
        <f t="shared" si="15"/>
        <v xml:space="preserve">2 Tahun </v>
      </c>
      <c r="I499" s="12">
        <f t="shared" si="14"/>
        <v>15000000</v>
      </c>
      <c r="J499" s="13">
        <v>5</v>
      </c>
    </row>
    <row r="500" spans="1:10" x14ac:dyDescent="0.25">
      <c r="A500" s="6" t="s">
        <v>1013</v>
      </c>
      <c r="B500" s="7" t="s">
        <v>1014</v>
      </c>
      <c r="C500" s="7" t="s">
        <v>10</v>
      </c>
      <c r="D500" s="7" t="s">
        <v>17</v>
      </c>
      <c r="E500" s="7" t="s">
        <v>26</v>
      </c>
      <c r="F500" s="7" t="s">
        <v>13</v>
      </c>
      <c r="G500" s="7" t="s">
        <v>18</v>
      </c>
      <c r="H500" s="31" t="str">
        <f t="shared" si="15"/>
        <v xml:space="preserve">2 Tahun </v>
      </c>
      <c r="I500" s="8">
        <f t="shared" si="14"/>
        <v>15000000</v>
      </c>
      <c r="J500" s="9">
        <v>3</v>
      </c>
    </row>
    <row r="501" spans="1:10" x14ac:dyDescent="0.25">
      <c r="A501" s="10" t="s">
        <v>1015</v>
      </c>
      <c r="B501" s="11" t="s">
        <v>1016</v>
      </c>
      <c r="C501" s="11" t="s">
        <v>49</v>
      </c>
      <c r="D501" s="11" t="s">
        <v>17</v>
      </c>
      <c r="E501" s="11" t="s">
        <v>40</v>
      </c>
      <c r="F501" s="11" t="s">
        <v>22</v>
      </c>
      <c r="G501" s="11" t="s">
        <v>14</v>
      </c>
      <c r="H501" s="31" t="str">
        <f t="shared" si="15"/>
        <v>1 Tahun</v>
      </c>
      <c r="I501" s="12">
        <f t="shared" si="14"/>
        <v>7000000</v>
      </c>
      <c r="J501" s="13">
        <v>4</v>
      </c>
    </row>
    <row r="502" spans="1:10" x14ac:dyDescent="0.25">
      <c r="A502" s="6" t="s">
        <v>1017</v>
      </c>
      <c r="B502" s="7" t="s">
        <v>1018</v>
      </c>
      <c r="C502" s="7" t="s">
        <v>10</v>
      </c>
      <c r="D502" s="7" t="s">
        <v>21</v>
      </c>
      <c r="E502" s="7" t="s">
        <v>40</v>
      </c>
      <c r="F502" s="7" t="s">
        <v>13</v>
      </c>
      <c r="G502" s="7" t="s">
        <v>14</v>
      </c>
      <c r="H502" s="31" t="str">
        <f t="shared" si="15"/>
        <v>1 Tahun</v>
      </c>
      <c r="I502" s="8">
        <f t="shared" si="14"/>
        <v>7000000</v>
      </c>
      <c r="J502" s="9">
        <v>5</v>
      </c>
    </row>
    <row r="503" spans="1:10" x14ac:dyDescent="0.25">
      <c r="A503" s="14" t="s">
        <v>1019</v>
      </c>
      <c r="B503" s="15" t="s">
        <v>1020</v>
      </c>
      <c r="C503" s="15" t="s">
        <v>10</v>
      </c>
      <c r="D503" s="15" t="s">
        <v>29</v>
      </c>
      <c r="E503" s="15" t="s">
        <v>12</v>
      </c>
      <c r="F503" s="15" t="s">
        <v>13</v>
      </c>
      <c r="G503" s="16" t="s">
        <v>14</v>
      </c>
      <c r="H503" s="31" t="str">
        <f t="shared" si="15"/>
        <v>5 Tahun</v>
      </c>
      <c r="I503" s="16">
        <f t="shared" si="14"/>
        <v>20000000</v>
      </c>
      <c r="J503" s="17">
        <v>5</v>
      </c>
    </row>
    <row r="504" spans="1:10" x14ac:dyDescent="0.25">
      <c r="A504" s="14" t="s">
        <v>1021</v>
      </c>
      <c r="B504" s="18" t="s">
        <v>1022</v>
      </c>
      <c r="C504" s="18" t="s">
        <v>10</v>
      </c>
      <c r="D504" s="18" t="s">
        <v>29</v>
      </c>
      <c r="E504" s="18" t="s">
        <v>12</v>
      </c>
      <c r="F504" s="18" t="s">
        <v>13</v>
      </c>
      <c r="G504" s="18" t="s">
        <v>14</v>
      </c>
      <c r="H504" s="31" t="str">
        <f t="shared" si="15"/>
        <v>5 Tahun</v>
      </c>
      <c r="I504" s="19">
        <f t="shared" si="14"/>
        <v>20000000</v>
      </c>
      <c r="J504" s="20">
        <v>4</v>
      </c>
    </row>
  </sheetData>
  <autoFilter ref="A3:J504" xr:uid="{86D2319F-E156-4FE3-A01E-138F373D3A9C}"/>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7EFE6-88BF-4E47-BF2D-4C58D94D4BC5}">
  <dimension ref="A1:A4"/>
  <sheetViews>
    <sheetView workbookViewId="0">
      <selection activeCell="A5" sqref="A5"/>
    </sheetView>
  </sheetViews>
  <sheetFormatPr defaultRowHeight="15" x14ac:dyDescent="0.25"/>
  <sheetData>
    <row r="1" spans="1:1" x14ac:dyDescent="0.25">
      <c r="A1" t="s">
        <v>1030</v>
      </c>
    </row>
    <row r="2" spans="1:1" x14ac:dyDescent="0.25">
      <c r="A2" t="s">
        <v>1031</v>
      </c>
    </row>
    <row r="3" spans="1:1" x14ac:dyDescent="0.25">
      <c r="A3" t="s">
        <v>1032</v>
      </c>
    </row>
    <row r="4" spans="1:1" x14ac:dyDescent="0.25">
      <c r="A4" t="s">
        <v>1033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Dashboard</vt:lpstr>
      <vt:lpstr>Pivot</vt:lpstr>
      <vt:lpstr>Data</vt:lpstr>
      <vt:lpstr>Pertanyaan</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HEZRON SARANGA</dc:creator>
  <cp:lastModifiedBy>HEZRON SARANGA</cp:lastModifiedBy>
  <dcterms:created xsi:type="dcterms:W3CDTF">2026-07-30T15:50:01Z</dcterms:created>
  <dcterms:modified xsi:type="dcterms:W3CDTF">2026-08-06T12:59:57Z</dcterms:modified>
</cp:coreProperties>
</file>